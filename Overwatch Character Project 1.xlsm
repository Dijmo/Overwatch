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hys\Desktop\"/>
    </mc:Choice>
  </mc:AlternateContent>
  <bookViews>
    <workbookView xWindow="0" yWindow="0" windowWidth="25200" windowHeight="11985"/>
  </bookViews>
  <sheets>
    <sheet name="Top" sheetId="3" r:id="rId1"/>
    <sheet name="RData" sheetId="4" r:id="rId2"/>
    <sheet name="Tactics" sheetId="2" r:id="rId3"/>
    <sheet name="TData" sheetId="1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3" l="1"/>
  <c r="I5" i="3"/>
  <c r="H5" i="3"/>
  <c r="G5" i="3" l="1"/>
  <c r="D5" i="3" l="1"/>
  <c r="E5" i="3" l="1"/>
  <c r="C5" i="3"/>
  <c r="I48" i="4"/>
  <c r="K48" i="4"/>
  <c r="M48" i="4"/>
  <c r="Q24" i="4"/>
  <c r="S17" i="2" l="1"/>
  <c r="S6" i="2"/>
  <c r="Y7" i="2"/>
  <c r="Y16" i="2"/>
  <c r="S9" i="2"/>
  <c r="S24" i="2"/>
  <c r="S4" i="2"/>
  <c r="S13" i="2"/>
  <c r="Y11" i="2"/>
  <c r="Y4" i="2"/>
  <c r="Y20" i="2"/>
  <c r="S22" i="2"/>
  <c r="S11" i="2"/>
  <c r="S12" i="2"/>
  <c r="S21" i="2"/>
  <c r="S7" i="2"/>
  <c r="Y19" i="2"/>
  <c r="Y12" i="2"/>
  <c r="Y5" i="2"/>
  <c r="S16" i="2"/>
  <c r="Y23" i="2"/>
  <c r="Y21" i="2"/>
  <c r="S18" i="2"/>
  <c r="S8" i="2"/>
  <c r="Y15" i="2"/>
  <c r="Y13" i="2"/>
  <c r="S10" i="2"/>
  <c r="S23" i="2"/>
  <c r="S5" i="2"/>
  <c r="Y18" i="2"/>
  <c r="Y10" i="2"/>
  <c r="Y24" i="2"/>
  <c r="S20" i="2"/>
  <c r="Y17" i="2"/>
  <c r="S14" i="2"/>
  <c r="Y14" i="2"/>
  <c r="S15" i="2"/>
  <c r="Y22" i="2"/>
  <c r="Y9" i="2"/>
  <c r="Y8" i="2"/>
  <c r="Y6" i="2"/>
  <c r="S19" i="2"/>
  <c r="T10" i="2"/>
  <c r="T11" i="2"/>
  <c r="T18" i="2"/>
  <c r="T23" i="2"/>
  <c r="Z14" i="2"/>
  <c r="T21" i="2"/>
  <c r="T15" i="2"/>
  <c r="Z23" i="2"/>
  <c r="T5" i="2"/>
  <c r="Z18" i="2"/>
  <c r="Z19" i="2"/>
  <c r="Z24" i="2"/>
  <c r="Z16" i="2"/>
  <c r="Z10" i="2"/>
  <c r="T13" i="2"/>
  <c r="Z15" i="2"/>
  <c r="T7" i="2"/>
  <c r="Z13" i="2"/>
  <c r="T22" i="2"/>
  <c r="T12" i="2"/>
  <c r="T17" i="2"/>
  <c r="Z20" i="2"/>
  <c r="Z6" i="2"/>
  <c r="H45" i="4"/>
  <c r="H42" i="4"/>
  <c r="H44" i="4"/>
  <c r="H39" i="4"/>
  <c r="H47" i="4"/>
  <c r="H40" i="4"/>
  <c r="H38" i="4"/>
  <c r="H41" i="4"/>
  <c r="H29" i="4"/>
  <c r="H30" i="4"/>
  <c r="H37" i="4"/>
  <c r="H26" i="4"/>
  <c r="H46" i="4"/>
  <c r="H33" i="4"/>
  <c r="H36" i="4"/>
  <c r="H28" i="4"/>
  <c r="H27" i="4"/>
  <c r="H34" i="4"/>
  <c r="H31" i="4"/>
  <c r="H35" i="4"/>
  <c r="H32" i="4"/>
  <c r="H43" i="4"/>
  <c r="J43" i="4" s="1"/>
  <c r="L43" i="4" l="1"/>
  <c r="N43" i="4"/>
  <c r="L29" i="4"/>
  <c r="L30" i="4"/>
  <c r="L31" i="4"/>
  <c r="J32" i="4"/>
  <c r="J33" i="4"/>
  <c r="N34" i="4"/>
  <c r="N35" i="4"/>
  <c r="N36" i="4"/>
  <c r="L37" i="4"/>
  <c r="L38" i="4"/>
  <c r="N39" i="4"/>
  <c r="J40" i="4"/>
  <c r="J41" i="4"/>
  <c r="N42" i="4"/>
  <c r="N44" i="4"/>
  <c r="N45" i="4"/>
  <c r="L46" i="4"/>
  <c r="L47" i="4"/>
  <c r="N26" i="4"/>
  <c r="N27" i="4"/>
  <c r="N28" i="4"/>
  <c r="B4" i="2"/>
  <c r="J38" i="4" l="1"/>
  <c r="J31" i="4"/>
  <c r="L26" i="4"/>
  <c r="N31" i="4"/>
  <c r="J30" i="4"/>
  <c r="N47" i="4"/>
  <c r="J39" i="4"/>
  <c r="L36" i="4"/>
  <c r="L45" i="4"/>
  <c r="L42" i="4"/>
  <c r="L40" i="4"/>
  <c r="L39" i="4"/>
  <c r="N41" i="4"/>
  <c r="J27" i="4"/>
  <c r="J26" i="4"/>
  <c r="N38" i="4"/>
  <c r="N40" i="4"/>
  <c r="L32" i="4"/>
  <c r="L28" i="4"/>
  <c r="N33" i="4"/>
  <c r="J47" i="4"/>
  <c r="L44" i="4"/>
  <c r="L27" i="4"/>
  <c r="N32" i="4"/>
  <c r="J45" i="4"/>
  <c r="J36" i="4"/>
  <c r="J28" i="4"/>
  <c r="L41" i="4"/>
  <c r="L33" i="4"/>
  <c r="N30" i="4"/>
  <c r="J35" i="4"/>
  <c r="N46" i="4"/>
  <c r="N29" i="4"/>
  <c r="L35" i="4"/>
  <c r="J37" i="4"/>
  <c r="J44" i="4"/>
  <c r="J46" i="4"/>
  <c r="J29" i="4"/>
  <c r="L34" i="4"/>
  <c r="N37" i="4"/>
  <c r="J42" i="4"/>
  <c r="J34" i="4"/>
  <c r="C7" i="2"/>
  <c r="G4" i="2"/>
  <c r="F4" i="2"/>
  <c r="E4" i="2"/>
  <c r="D4" i="2"/>
  <c r="C4" i="2"/>
  <c r="F7" i="2"/>
  <c r="E7" i="2"/>
  <c r="D7" i="2"/>
  <c r="B7" i="2"/>
  <c r="N48" i="4" l="1"/>
  <c r="J48" i="4"/>
  <c r="L48" i="4"/>
  <c r="Z11" i="2"/>
  <c r="Z8" i="2"/>
  <c r="T19" i="2"/>
  <c r="Z22" i="2"/>
  <c r="T20" i="2"/>
  <c r="T16" i="2"/>
  <c r="T24" i="2"/>
  <c r="Z21" i="2"/>
  <c r="T9" i="2"/>
  <c r="Z9" i="2"/>
  <c r="T6" i="2"/>
  <c r="T14" i="2"/>
  <c r="Z12" i="2"/>
  <c r="Z7" i="2"/>
  <c r="Z4" i="2"/>
  <c r="T4" i="2"/>
  <c r="T8" i="2"/>
  <c r="Z5" i="2"/>
  <c r="Z17" i="2"/>
  <c r="U21" i="2"/>
  <c r="U12" i="2"/>
  <c r="U6" i="2"/>
  <c r="AA6" i="2"/>
  <c r="AA10" i="2"/>
  <c r="AA11" i="2"/>
  <c r="U23" i="2"/>
  <c r="U13" i="2"/>
  <c r="U8" i="2"/>
  <c r="AA7" i="2"/>
  <c r="U19" i="2"/>
  <c r="U9" i="2"/>
  <c r="U7" i="2"/>
  <c r="U15" i="2"/>
  <c r="U10" i="2"/>
  <c r="AA9" i="2"/>
  <c r="AA16" i="2"/>
  <c r="AA15" i="2"/>
  <c r="U5" i="2"/>
  <c r="AA20" i="2"/>
  <c r="U16" i="2"/>
  <c r="U20" i="2"/>
  <c r="AA14" i="2"/>
  <c r="U14" i="2"/>
  <c r="AA8" i="2"/>
  <c r="AA12" i="2"/>
  <c r="AA5" i="2"/>
  <c r="AA22" i="2"/>
  <c r="U22" i="2"/>
  <c r="U17" i="2"/>
  <c r="AA23" i="2"/>
  <c r="U24" i="2"/>
  <c r="U18" i="2"/>
  <c r="AA24" i="2"/>
  <c r="U4" i="2"/>
  <c r="U11" i="2"/>
  <c r="AA13" i="2"/>
  <c r="AA17" i="2"/>
  <c r="AA18" i="2"/>
  <c r="AA4" i="2"/>
  <c r="AA19" i="2"/>
  <c r="AA21" i="2"/>
  <c r="AB17" i="2"/>
  <c r="V5" i="2"/>
  <c r="AB13" i="2"/>
  <c r="AB11" i="2"/>
  <c r="AB24" i="2"/>
  <c r="AB18" i="2"/>
  <c r="AB16" i="2"/>
  <c r="V20" i="2"/>
  <c r="V24" i="2"/>
  <c r="V14" i="2"/>
  <c r="V18" i="2"/>
  <c r="V7" i="2"/>
  <c r="V19" i="2"/>
  <c r="AB21" i="2"/>
  <c r="V21" i="2"/>
  <c r="V23" i="2"/>
  <c r="V17" i="2"/>
  <c r="AB23" i="2"/>
  <c r="AB12" i="2"/>
  <c r="AB4" i="2"/>
  <c r="AB19" i="2"/>
  <c r="V6" i="2"/>
  <c r="AB20" i="2"/>
  <c r="AB15" i="2"/>
  <c r="V11" i="2"/>
  <c r="V12" i="2"/>
  <c r="AB22" i="2"/>
  <c r="AB9" i="2"/>
  <c r="AB6" i="2"/>
  <c r="V13" i="2"/>
  <c r="V16" i="2"/>
  <c r="V4" i="2"/>
  <c r="AB10" i="2"/>
  <c r="AB7" i="2"/>
  <c r="AB14" i="2"/>
  <c r="V10" i="2"/>
  <c r="AB5" i="2"/>
  <c r="V22" i="2"/>
  <c r="V15" i="2"/>
  <c r="V9" i="2"/>
  <c r="V8" i="2"/>
  <c r="AB8" i="2"/>
  <c r="AC15" i="2"/>
  <c r="W12" i="2"/>
  <c r="W6" i="2"/>
  <c r="W18" i="2"/>
  <c r="W7" i="2"/>
  <c r="AC8" i="2"/>
  <c r="AC10" i="2"/>
  <c r="AC11" i="2"/>
  <c r="W10" i="2"/>
  <c r="W20" i="2"/>
  <c r="AC20" i="2"/>
  <c r="AC16" i="2"/>
  <c r="AC5" i="2"/>
  <c r="W15" i="2"/>
  <c r="AC13" i="2"/>
  <c r="W24" i="2"/>
  <c r="W11" i="2"/>
  <c r="AC18" i="2"/>
  <c r="W23" i="2"/>
  <c r="AC19" i="2"/>
  <c r="AC21" i="2"/>
  <c r="W19" i="2"/>
  <c r="W5" i="2"/>
  <c r="AC6" i="2"/>
  <c r="W14" i="2"/>
  <c r="W8" i="2"/>
  <c r="W4" i="2"/>
  <c r="AC4" i="2"/>
  <c r="AC17" i="2"/>
  <c r="W13" i="2"/>
  <c r="AC12" i="2"/>
  <c r="W21" i="2"/>
  <c r="W16" i="2"/>
  <c r="AC14" i="2"/>
  <c r="AC24" i="2"/>
  <c r="W22" i="2"/>
  <c r="W9" i="2"/>
  <c r="AC22" i="2"/>
  <c r="W17" i="2"/>
  <c r="AC7" i="2"/>
  <c r="AC9" i="2"/>
  <c r="AC23" i="2"/>
  <c r="N15" i="2"/>
  <c r="N21" i="2"/>
  <c r="N6" i="2"/>
  <c r="N13" i="2"/>
  <c r="N16" i="2"/>
  <c r="N22" i="2"/>
  <c r="N4" i="2"/>
  <c r="N24" i="2"/>
  <c r="N19" i="2"/>
  <c r="N11" i="2"/>
  <c r="N20" i="2"/>
  <c r="N14" i="2"/>
  <c r="N12" i="2"/>
  <c r="N23" i="2"/>
  <c r="N10" i="2"/>
  <c r="N5" i="2"/>
  <c r="N9" i="2"/>
  <c r="N18" i="2"/>
  <c r="N8" i="2"/>
  <c r="N17" i="2"/>
  <c r="N7" i="2"/>
  <c r="X17" i="2"/>
  <c r="X4" i="2"/>
  <c r="X23" i="2"/>
  <c r="X16" i="2"/>
  <c r="X18" i="2"/>
  <c r="AD24" i="2"/>
  <c r="X20" i="2"/>
  <c r="X13" i="2"/>
  <c r="X11" i="2"/>
  <c r="AD17" i="2"/>
  <c r="AD19" i="2"/>
  <c r="AD21" i="2"/>
  <c r="AD11" i="2"/>
  <c r="AD6" i="2"/>
  <c r="X22" i="2"/>
  <c r="AD10" i="2"/>
  <c r="AD7" i="2"/>
  <c r="AD23" i="2"/>
  <c r="X7" i="2"/>
  <c r="AD14" i="2"/>
  <c r="AD4" i="2"/>
  <c r="AD22" i="2"/>
  <c r="AD20" i="2"/>
  <c r="X19" i="2"/>
  <c r="X10" i="2"/>
  <c r="AD18" i="2"/>
  <c r="X24" i="2"/>
  <c r="X12" i="2"/>
  <c r="X5" i="2"/>
  <c r="X21" i="2"/>
  <c r="AD13" i="2"/>
  <c r="X14" i="2"/>
  <c r="AD9" i="2"/>
  <c r="X15" i="2"/>
  <c r="AD12" i="2"/>
  <c r="X8" i="2"/>
  <c r="AD15" i="2"/>
  <c r="X9" i="2"/>
  <c r="AD16" i="2"/>
  <c r="AD5" i="2"/>
  <c r="X6" i="2"/>
  <c r="AD8" i="2"/>
  <c r="P20" i="2"/>
  <c r="P12" i="2"/>
  <c r="P22" i="2"/>
  <c r="P4" i="2"/>
  <c r="P23" i="2"/>
  <c r="P15" i="2"/>
  <c r="P7" i="2"/>
  <c r="P21" i="2"/>
  <c r="P11" i="2"/>
  <c r="P14" i="2"/>
  <c r="P5" i="2"/>
  <c r="P19" i="2"/>
  <c r="P18" i="2"/>
  <c r="P6" i="2"/>
  <c r="P24" i="2"/>
  <c r="P10" i="2"/>
  <c r="P17" i="2"/>
  <c r="P13" i="2"/>
  <c r="P16" i="2"/>
  <c r="P8" i="2"/>
  <c r="P9" i="2"/>
  <c r="O21" i="2"/>
  <c r="O10" i="2"/>
  <c r="O8" i="2"/>
  <c r="O17" i="2"/>
  <c r="O15" i="2"/>
  <c r="O7" i="2"/>
  <c r="O24" i="2"/>
  <c r="O9" i="2"/>
  <c r="O11" i="2"/>
  <c r="O5" i="2"/>
  <c r="O13" i="2"/>
  <c r="O19" i="2"/>
  <c r="O23" i="2"/>
  <c r="O6" i="2"/>
  <c r="O14" i="2"/>
  <c r="O18" i="2"/>
  <c r="O4" i="2"/>
  <c r="O22" i="2"/>
  <c r="O16" i="2"/>
  <c r="O12" i="2"/>
  <c r="O20" i="2"/>
  <c r="Q23" i="2"/>
  <c r="Q7" i="2"/>
  <c r="Q22" i="2"/>
  <c r="Q24" i="2"/>
  <c r="Q15" i="2"/>
  <c r="Q11" i="2"/>
  <c r="Q13" i="2"/>
  <c r="Q4" i="2"/>
  <c r="Q6" i="2"/>
  <c r="Q5" i="2"/>
  <c r="Q12" i="2"/>
  <c r="Q16" i="2"/>
  <c r="Q20" i="2"/>
  <c r="Q21" i="2"/>
  <c r="Q19" i="2"/>
  <c r="Q17" i="2"/>
  <c r="Q9" i="2"/>
  <c r="Q18" i="2"/>
  <c r="Q14" i="2"/>
  <c r="Q8" i="2"/>
  <c r="Q10" i="2"/>
  <c r="R11" i="2"/>
  <c r="R15" i="2"/>
  <c r="R13" i="2"/>
  <c r="R4" i="2"/>
  <c r="R21" i="2"/>
  <c r="R10" i="2"/>
  <c r="R8" i="2"/>
  <c r="R23" i="2"/>
  <c r="R16" i="2"/>
  <c r="R17" i="2"/>
  <c r="R22" i="2"/>
  <c r="R5" i="2"/>
  <c r="R24" i="2"/>
  <c r="R7" i="2"/>
  <c r="R9" i="2"/>
  <c r="R19" i="2"/>
  <c r="R12" i="2"/>
  <c r="R14" i="2"/>
  <c r="R18" i="2"/>
  <c r="R6" i="2"/>
  <c r="R20" i="2"/>
  <c r="AE6" i="2" l="1"/>
  <c r="AE15" i="2"/>
  <c r="AE12" i="2"/>
  <c r="AE19" i="2"/>
  <c r="AE5" i="2"/>
  <c r="AE16" i="2"/>
  <c r="AE22" i="2"/>
  <c r="AE8" i="2"/>
  <c r="AE20" i="2"/>
  <c r="AE24" i="2"/>
  <c r="AE7" i="2"/>
  <c r="AE4" i="2"/>
  <c r="AE10" i="2"/>
  <c r="AE18" i="2"/>
  <c r="AE9" i="2"/>
  <c r="AE23" i="2"/>
  <c r="AE17" i="2"/>
  <c r="AE14" i="2"/>
  <c r="AE13" i="2"/>
  <c r="AE11" i="2"/>
  <c r="AE21" i="2"/>
</calcChain>
</file>

<file path=xl/sharedStrings.xml><?xml version="1.0" encoding="utf-8"?>
<sst xmlns="http://schemas.openxmlformats.org/spreadsheetml/2006/main" count="463" uniqueCount="92">
  <si>
    <t>Reinhardt</t>
  </si>
  <si>
    <t>Plan:</t>
  </si>
  <si>
    <t xml:space="preserve">Enter heroes of enemy team </t>
  </si>
  <si>
    <t>You v Them -&gt;</t>
  </si>
  <si>
    <t>Create list of heroes by "score" calculated with table</t>
  </si>
  <si>
    <t>Genji</t>
  </si>
  <si>
    <t>Pharah</t>
  </si>
  <si>
    <t>Reaper</t>
  </si>
  <si>
    <t>Soldier: 76</t>
  </si>
  <si>
    <t>Tracer</t>
  </si>
  <si>
    <t>Bastion</t>
  </si>
  <si>
    <t>Hanzo</t>
  </si>
  <si>
    <t>Junkrat</t>
  </si>
  <si>
    <t>Mei</t>
  </si>
  <si>
    <t>Widowmaker</t>
  </si>
  <si>
    <t>D.Va</t>
  </si>
  <si>
    <t>Roadhog</t>
  </si>
  <si>
    <t>Winston</t>
  </si>
  <si>
    <t>Zarya</t>
  </si>
  <si>
    <t>Lucio</t>
  </si>
  <si>
    <t>Mercy</t>
  </si>
  <si>
    <t>Symmetra</t>
  </si>
  <si>
    <t>Zenyatta</t>
  </si>
  <si>
    <t>Torbjorn</t>
  </si>
  <si>
    <t>x</t>
  </si>
  <si>
    <t>Should work with empty hero slots</t>
  </si>
  <si>
    <t>Enter heroes of friendly team to see how you s</t>
  </si>
  <si>
    <t>s</t>
  </si>
  <si>
    <t>cs</t>
  </si>
  <si>
    <t>Modify list with new score based on cs and +os</t>
  </si>
  <si>
    <t>c</t>
  </si>
  <si>
    <t>Enemy Team:</t>
  </si>
  <si>
    <t>Your Team:</t>
  </si>
  <si>
    <t>Top Picks:</t>
  </si>
  <si>
    <t>Hero</t>
  </si>
  <si>
    <t>Column #</t>
  </si>
  <si>
    <t>Column Number:</t>
  </si>
  <si>
    <t>T1</t>
  </si>
  <si>
    <t>T2</t>
  </si>
  <si>
    <t>T3</t>
  </si>
  <si>
    <t>T4</t>
  </si>
  <si>
    <t>T5</t>
  </si>
  <si>
    <t>E1</t>
  </si>
  <si>
    <t>E2</t>
  </si>
  <si>
    <t>E3</t>
  </si>
  <si>
    <t>E4</t>
  </si>
  <si>
    <t>E5</t>
  </si>
  <si>
    <t>E6</t>
  </si>
  <si>
    <t>Synergy Weight</t>
  </si>
  <si>
    <t>Counter Weight</t>
  </si>
  <si>
    <t>Column1</t>
  </si>
  <si>
    <t>Column2</t>
  </si>
  <si>
    <t>sx</t>
  </si>
  <si>
    <t>cx</t>
  </si>
  <si>
    <t>X1</t>
  </si>
  <si>
    <t>X2</t>
  </si>
  <si>
    <t>X3</t>
  </si>
  <si>
    <t>X4</t>
  </si>
  <si>
    <t>X5</t>
  </si>
  <si>
    <t>X6</t>
  </si>
  <si>
    <t>Avoidance Weight</t>
  </si>
  <si>
    <t>(Should be negative)</t>
  </si>
  <si>
    <t>Mccree</t>
  </si>
  <si>
    <t>Name</t>
  </si>
  <si>
    <t>McCree</t>
  </si>
  <si>
    <t>o</t>
  </si>
  <si>
    <t>Attack</t>
  </si>
  <si>
    <t>Defense</t>
  </si>
  <si>
    <t>Control</t>
  </si>
  <si>
    <t>Base</t>
  </si>
  <si>
    <t>Most Played</t>
  </si>
  <si>
    <t>Least Played</t>
  </si>
  <si>
    <t>Most Played Rank</t>
  </si>
  <si>
    <t>Popularity</t>
  </si>
  <si>
    <t>Order</t>
  </si>
  <si>
    <t>D%</t>
  </si>
  <si>
    <t>A%</t>
  </si>
  <si>
    <t>C%</t>
  </si>
  <si>
    <t>A</t>
  </si>
  <si>
    <t>D</t>
  </si>
  <si>
    <t>C</t>
  </si>
  <si>
    <t>Must put table in order by leftmost column first</t>
  </si>
  <si>
    <t>f9 to roll</t>
  </si>
  <si>
    <t>Ana</t>
  </si>
  <si>
    <t>Zenyatta2</t>
  </si>
  <si>
    <t>Symmetra2</t>
  </si>
  <si>
    <t>Mercy2</t>
  </si>
  <si>
    <t>Lucio2</t>
  </si>
  <si>
    <t>`</t>
  </si>
  <si>
    <t>Offense</t>
  </si>
  <si>
    <t>Tank</t>
  </si>
  <si>
    <t>Healer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</si>
</sst>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59999389629810485"/>
        <bgColor indexed="65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1" fillId="4" borderId="0" xfId="3"/>
    <xf numFmtId="0" fontId="1" fillId="7" borderId="0" xfId="6"/>
    <xf numFmtId="0" fontId="0" fillId="7" borderId="0" xfId="6" applyFont="1"/>
    <xf numFmtId="0" fontId="3" fillId="0" borderId="0" xfId="0" applyFont="1"/>
    <xf numFmtId="0" fontId="4" fillId="5" borderId="0" xfId="4" applyFont="1"/>
    <xf numFmtId="0" fontId="4" fillId="2" borderId="0" xfId="1" applyFont="1"/>
    <xf numFmtId="0" fontId="5" fillId="6" borderId="0" xfId="5" applyFont="1"/>
    <xf numFmtId="0" fontId="0" fillId="0" borderId="0" xfId="0" applyNumberFormat="1"/>
    <xf numFmtId="0" fontId="0" fillId="4" borderId="0" xfId="3" applyFont="1"/>
    <xf numFmtId="0" fontId="6" fillId="3" borderId="0" xfId="2" applyFont="1"/>
    <xf numFmtId="0" fontId="6" fillId="8" borderId="0" xfId="7" applyFont="1"/>
    <xf numFmtId="0" fontId="6" fillId="4" borderId="0" xfId="3" applyFont="1"/>
    <xf numFmtId="0" fontId="6" fillId="7" borderId="0" xfId="6" applyFont="1"/>
    <xf numFmtId="0" fontId="0" fillId="0" borderId="0" xfId="0" applyAlignment="1"/>
  </cellXfs>
  <cellStyles count="8">
    <cellStyle name="40% - Accent1" xfId="7" builtinId="31"/>
    <cellStyle name="40% - Accent2" xfId="2" builtinId="35"/>
    <cellStyle name="40% - Accent4" xfId="3" builtinId="43"/>
    <cellStyle name="40% - Accent6" xfId="6" builtinId="51"/>
    <cellStyle name="Accent2" xfId="1" builtinId="33"/>
    <cellStyle name="Accent5" xfId="4" builtinId="45"/>
    <cellStyle name="Accent6" xfId="5" builtinId="49"/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</xdr:row>
          <xdr:rowOff>95250</xdr:rowOff>
        </xdr:from>
        <xdr:to>
          <xdr:col>6</xdr:col>
          <xdr:colOff>390525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Lists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9</xdr:row>
          <xdr:rowOff>123825</xdr:rowOff>
        </xdr:from>
        <xdr:to>
          <xdr:col>7</xdr:col>
          <xdr:colOff>209550</xdr:colOff>
          <xdr:row>10</xdr:row>
          <xdr:rowOff>171450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to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8" name="RollTable" displayName="RollTable" ref="E25:N48" totalsRowCount="1">
  <autoFilter ref="E25:N47"/>
  <sortState ref="E26:N47">
    <sortCondition ref="E25:E47"/>
  </sortState>
  <tableColumns count="10">
    <tableColumn id="6" name="Order"/>
    <tableColumn id="1" name="Name"/>
    <tableColumn id="2" name="Popularity"/>
    <tableColumn id="7" name="Base" dataDxfId="7" totalsRowDxfId="6">
      <calculatedColumnFormula>VLOOKUP(RollTable[[#This Row],[Popularity]],$P$2:$Q$23,2)</calculatedColumnFormula>
    </tableColumn>
    <tableColumn id="3" name="Attack" totalsRowFunction="custom">
      <totalsRowFormula>SUM(I26:I47)</totalsRowFormula>
    </tableColumn>
    <tableColumn id="8" name="A%" totalsRowFunction="custom" dataDxfId="5" totalsRowDxfId="4">
      <calculatedColumnFormula>RollTable[[#This Row],[Base]]+RollTable[[#This Row],[Attack]]</calculatedColumnFormula>
      <totalsRowFormula>SUM(J26:J47)</totalsRowFormula>
    </tableColumn>
    <tableColumn id="4" name="Defense" totalsRowFunction="custom">
      <totalsRowFormula>SUM(K26:K47)</totalsRowFormula>
    </tableColumn>
    <tableColumn id="9" name="D%" totalsRowFunction="custom" dataDxfId="3" totalsRowDxfId="2">
      <calculatedColumnFormula>RollTable[[#This Row],[Base]]+RollTable[[#This Row],[Defense]]</calculatedColumnFormula>
      <totalsRowFormula>SUM(L26:L47)</totalsRowFormula>
    </tableColumn>
    <tableColumn id="5" name="Control" totalsRowFunction="custom">
      <totalsRowFormula>SUM(M26:M47)</totalsRowFormula>
    </tableColumn>
    <tableColumn id="10" name="C%" totalsRowFunction="custom" dataDxfId="1" totalsRowDxfId="0">
      <calculatedColumnFormula>RollTable[[#This Row],[Base]]+RollTable[[#This Row],[Control]]</calculatedColumnFormula>
      <totalsRowFormula>SUM(N26:N47)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B9:C30" totalsRowShown="0">
  <autoFilter ref="B9:C30"/>
  <sortState ref="B10:C30">
    <sortCondition descending="1" ref="C9:C30"/>
  </sortState>
  <tableColumns count="2">
    <tableColumn id="1" name="Column1"/>
    <tableColumn id="2" name="Column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5:W37" totalsRowShown="0">
  <autoFilter ref="A15:W37"/>
  <sortState ref="A16:V36">
    <sortCondition ref="A15:A36"/>
  </sortState>
  <tableColumns count="23">
    <tableColumn id="1" name="You v Them -&gt;" dataCellStyle="40% - Accent4"/>
    <tableColumn id="2" name="Genji"/>
    <tableColumn id="3" name="Mccree"/>
    <tableColumn id="4" name="Pharah"/>
    <tableColumn id="5" name="Reaper"/>
    <tableColumn id="6" name="Soldier: 76"/>
    <tableColumn id="7" name="Tracer"/>
    <tableColumn id="8" name="Bastion"/>
    <tableColumn id="9" name="Hanzo"/>
    <tableColumn id="10" name="Junkrat"/>
    <tableColumn id="11" name="Mei"/>
    <tableColumn id="12" name="Torbjorn"/>
    <tableColumn id="13" name="Widowmaker"/>
    <tableColumn id="14" name="D.Va"/>
    <tableColumn id="15" name="Reinhardt"/>
    <tableColumn id="16" name="Roadhog"/>
    <tableColumn id="17" name="Winston"/>
    <tableColumn id="18" name="Zarya"/>
    <tableColumn id="19" name="Ana"/>
    <tableColumn id="20" name="Lucio2"/>
    <tableColumn id="21" name="Mercy2"/>
    <tableColumn id="22" name="Symmetra2"/>
    <tableColumn id="23" name="Zenyatta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4:J10"/>
  <sheetViews>
    <sheetView tabSelected="1" workbookViewId="0">
      <selection activeCell="F21" sqref="F21"/>
    </sheetView>
  </sheetViews>
  <sheetFormatPr defaultRowHeight="15" x14ac:dyDescent="0.25"/>
  <cols>
    <col min="1" max="1" width="10.85546875" customWidth="1"/>
    <col min="2" max="2" width="10" customWidth="1"/>
    <col min="3" max="5" width="22.85546875" customWidth="1"/>
    <col min="6" max="6" width="11.7109375" customWidth="1"/>
    <col min="7" max="10" width="22.85546875" customWidth="1"/>
  </cols>
  <sheetData>
    <row r="4" spans="3:10" ht="28.5" x14ac:dyDescent="0.45">
      <c r="C4" s="7" t="s">
        <v>66</v>
      </c>
      <c r="D4" s="6" t="s">
        <v>67</v>
      </c>
      <c r="E4" s="8" t="s">
        <v>68</v>
      </c>
      <c r="G4" s="11" t="s">
        <v>89</v>
      </c>
      <c r="H4" s="12" t="s">
        <v>67</v>
      </c>
      <c r="I4" s="14" t="s">
        <v>90</v>
      </c>
      <c r="J4" s="13" t="s">
        <v>91</v>
      </c>
    </row>
    <row r="5" spans="3:10" ht="21" x14ac:dyDescent="0.35">
      <c r="C5" s="5" t="str">
        <f ca="1">VLOOKUP(RANDBETWEEN(0,999),RData!J2:M23,4)</f>
        <v>Widowmaker</v>
      </c>
      <c r="D5" s="5" t="str">
        <f ca="1">VLOOKUP(RANDBETWEEN(0,999),RData!K2:M23,3)</f>
        <v>Torbjorn</v>
      </c>
      <c r="E5" s="5" t="str">
        <f ca="1">VLOOKUP(RANDBETWEEN(0,999),RData!L2:M23,2)</f>
        <v>Mei</v>
      </c>
      <c r="G5" s="5" t="str">
        <f ca="1">VLOOKUP(RANDBETWEEN(1,6),RData!A2:B23,2)</f>
        <v>Genji</v>
      </c>
      <c r="H5" s="5" t="str">
        <f ca="1">VLOOKUP(RANDBETWEEN(7,12),RData!A2:B26,2)</f>
        <v>Widowmaker</v>
      </c>
      <c r="I5" s="5" t="str">
        <f ca="1">VLOOKUP(RANDBETWEEN(13,16),RData!A2:B26,2)</f>
        <v>Reinhardt</v>
      </c>
      <c r="J5" s="5" t="str">
        <f ca="1">VLOOKUP(RANDBETWEEN(17,20),RData!A2:B26,2)</f>
        <v>Zenyatta</v>
      </c>
    </row>
    <row r="10" spans="3:10" x14ac:dyDescent="0.25">
      <c r="C10" t="s">
        <v>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48"/>
  <sheetViews>
    <sheetView topLeftCell="A4" zoomScaleNormal="100" workbookViewId="0">
      <selection activeCell="P36" sqref="P36"/>
    </sheetView>
  </sheetViews>
  <sheetFormatPr defaultRowHeight="15" x14ac:dyDescent="0.25"/>
  <cols>
    <col min="1" max="1" width="13.28515625" customWidth="1"/>
    <col min="2" max="2" width="13" customWidth="1"/>
    <col min="6" max="6" width="13.140625" customWidth="1"/>
    <col min="7" max="7" width="13" customWidth="1"/>
    <col min="8" max="8" width="7.7109375" customWidth="1"/>
    <col min="9" max="9" width="9.85546875" customWidth="1"/>
    <col min="10" max="10" width="7.42578125" customWidth="1"/>
    <col min="11" max="11" width="11.28515625" customWidth="1"/>
    <col min="12" max="12" width="7.5703125" customWidth="1"/>
    <col min="13" max="13" width="10" customWidth="1"/>
    <col min="14" max="14" width="7.85546875" customWidth="1"/>
    <col min="15" max="15" width="13.5703125" customWidth="1"/>
    <col min="16" max="16" width="13.28515625" customWidth="1"/>
  </cols>
  <sheetData>
    <row r="1" spans="1:20" x14ac:dyDescent="0.25">
      <c r="C1" t="s">
        <v>66</v>
      </c>
      <c r="D1" t="s">
        <v>67</v>
      </c>
      <c r="E1" t="s">
        <v>68</v>
      </c>
      <c r="J1" t="s">
        <v>78</v>
      </c>
      <c r="K1" t="s">
        <v>79</v>
      </c>
      <c r="L1" t="s">
        <v>80</v>
      </c>
      <c r="M1" t="s">
        <v>63</v>
      </c>
      <c r="P1" t="s">
        <v>72</v>
      </c>
      <c r="Q1" t="s">
        <v>69</v>
      </c>
    </row>
    <row r="2" spans="1:20" x14ac:dyDescent="0.25">
      <c r="A2">
        <v>1</v>
      </c>
      <c r="B2" s="1" t="s">
        <v>5</v>
      </c>
      <c r="C2" t="s">
        <v>65</v>
      </c>
      <c r="J2">
        <v>0</v>
      </c>
      <c r="K2">
        <v>0</v>
      </c>
      <c r="L2">
        <v>0</v>
      </c>
      <c r="M2" s="1" t="s">
        <v>5</v>
      </c>
      <c r="O2" t="s">
        <v>70</v>
      </c>
      <c r="P2">
        <v>1</v>
      </c>
      <c r="Q2">
        <v>25</v>
      </c>
    </row>
    <row r="3" spans="1:20" x14ac:dyDescent="0.25">
      <c r="A3">
        <v>2</v>
      </c>
      <c r="B3" t="s">
        <v>62</v>
      </c>
      <c r="D3" t="s">
        <v>65</v>
      </c>
      <c r="J3">
        <v>83</v>
      </c>
      <c r="K3">
        <v>43</v>
      </c>
      <c r="L3">
        <v>48</v>
      </c>
      <c r="M3" t="s">
        <v>64</v>
      </c>
      <c r="P3">
        <v>2</v>
      </c>
      <c r="Q3">
        <v>27</v>
      </c>
    </row>
    <row r="4" spans="1:20" x14ac:dyDescent="0.25">
      <c r="A4">
        <v>3</v>
      </c>
      <c r="B4" t="s">
        <v>6</v>
      </c>
      <c r="F4" t="s">
        <v>81</v>
      </c>
      <c r="J4">
        <v>131</v>
      </c>
      <c r="K4">
        <v>91</v>
      </c>
      <c r="L4">
        <v>96</v>
      </c>
      <c r="M4" t="s">
        <v>6</v>
      </c>
      <c r="P4">
        <v>3</v>
      </c>
      <c r="Q4">
        <v>29</v>
      </c>
    </row>
    <row r="5" spans="1:20" x14ac:dyDescent="0.25">
      <c r="A5">
        <v>4</v>
      </c>
      <c r="B5" t="s">
        <v>7</v>
      </c>
      <c r="J5">
        <v>180</v>
      </c>
      <c r="K5">
        <v>120</v>
      </c>
      <c r="L5">
        <v>150</v>
      </c>
      <c r="M5" t="s">
        <v>7</v>
      </c>
      <c r="P5">
        <v>4</v>
      </c>
      <c r="Q5">
        <v>31</v>
      </c>
    </row>
    <row r="6" spans="1:20" x14ac:dyDescent="0.25">
      <c r="A6">
        <v>5</v>
      </c>
      <c r="B6" t="s">
        <v>8</v>
      </c>
      <c r="J6">
        <v>231</v>
      </c>
      <c r="K6">
        <v>141</v>
      </c>
      <c r="L6">
        <v>201</v>
      </c>
      <c r="M6" t="s">
        <v>8</v>
      </c>
      <c r="P6">
        <v>5</v>
      </c>
      <c r="Q6">
        <v>33</v>
      </c>
    </row>
    <row r="7" spans="1:20" x14ac:dyDescent="0.25">
      <c r="A7">
        <v>6</v>
      </c>
      <c r="B7" t="s">
        <v>9</v>
      </c>
      <c r="C7" t="s">
        <v>65</v>
      </c>
      <c r="J7">
        <v>283</v>
      </c>
      <c r="K7">
        <v>173</v>
      </c>
      <c r="L7">
        <v>243</v>
      </c>
      <c r="M7" t="s">
        <v>9</v>
      </c>
      <c r="P7">
        <v>6</v>
      </c>
      <c r="Q7">
        <v>35</v>
      </c>
    </row>
    <row r="8" spans="1:20" x14ac:dyDescent="0.25">
      <c r="A8">
        <v>7</v>
      </c>
      <c r="B8" t="s">
        <v>10</v>
      </c>
      <c r="C8" t="s">
        <v>24</v>
      </c>
      <c r="D8" t="s">
        <v>65</v>
      </c>
      <c r="J8">
        <v>357</v>
      </c>
      <c r="K8">
        <v>217</v>
      </c>
      <c r="L8">
        <v>317</v>
      </c>
      <c r="M8" t="s">
        <v>10</v>
      </c>
      <c r="P8">
        <v>7</v>
      </c>
      <c r="Q8">
        <v>37</v>
      </c>
    </row>
    <row r="9" spans="1:20" x14ac:dyDescent="0.25">
      <c r="A9">
        <v>8</v>
      </c>
      <c r="B9" t="s">
        <v>11</v>
      </c>
      <c r="J9">
        <v>409</v>
      </c>
      <c r="K9">
        <v>304</v>
      </c>
      <c r="L9">
        <v>379</v>
      </c>
      <c r="M9" t="s">
        <v>11</v>
      </c>
      <c r="P9">
        <v>8</v>
      </c>
      <c r="Q9">
        <v>39</v>
      </c>
    </row>
    <row r="10" spans="1:20" x14ac:dyDescent="0.25">
      <c r="A10">
        <v>9</v>
      </c>
      <c r="B10" t="s">
        <v>12</v>
      </c>
      <c r="C10" t="s">
        <v>24</v>
      </c>
      <c r="D10" t="s">
        <v>65</v>
      </c>
      <c r="J10">
        <v>461</v>
      </c>
      <c r="K10">
        <v>386</v>
      </c>
      <c r="L10">
        <v>431</v>
      </c>
      <c r="M10" t="s">
        <v>12</v>
      </c>
      <c r="P10">
        <v>9</v>
      </c>
      <c r="Q10">
        <v>41</v>
      </c>
      <c r="T10" t="s">
        <v>88</v>
      </c>
    </row>
    <row r="11" spans="1:20" x14ac:dyDescent="0.25">
      <c r="A11">
        <v>10</v>
      </c>
      <c r="B11" t="s">
        <v>13</v>
      </c>
      <c r="D11" t="s">
        <v>65</v>
      </c>
      <c r="E11" t="s">
        <v>65</v>
      </c>
      <c r="J11">
        <v>493</v>
      </c>
      <c r="K11">
        <v>453</v>
      </c>
      <c r="L11">
        <v>488</v>
      </c>
      <c r="M11" t="s">
        <v>13</v>
      </c>
      <c r="P11">
        <v>10</v>
      </c>
      <c r="Q11">
        <v>42</v>
      </c>
    </row>
    <row r="12" spans="1:20" x14ac:dyDescent="0.25">
      <c r="A12">
        <v>11</v>
      </c>
      <c r="B12" t="s">
        <v>23</v>
      </c>
      <c r="C12" t="s">
        <v>24</v>
      </c>
      <c r="D12" t="s">
        <v>65</v>
      </c>
      <c r="J12">
        <v>533</v>
      </c>
      <c r="K12">
        <v>508</v>
      </c>
      <c r="L12">
        <v>543</v>
      </c>
      <c r="M12" t="s">
        <v>23</v>
      </c>
      <c r="P12">
        <v>11</v>
      </c>
      <c r="Q12">
        <v>44</v>
      </c>
    </row>
    <row r="13" spans="1:20" x14ac:dyDescent="0.25">
      <c r="A13">
        <v>12</v>
      </c>
      <c r="B13" t="s">
        <v>14</v>
      </c>
      <c r="D13" t="s">
        <v>65</v>
      </c>
      <c r="J13">
        <v>567</v>
      </c>
      <c r="K13">
        <v>582</v>
      </c>
      <c r="L13">
        <v>597</v>
      </c>
      <c r="M13" t="s">
        <v>14</v>
      </c>
      <c r="P13">
        <v>12</v>
      </c>
      <c r="Q13">
        <v>46</v>
      </c>
    </row>
    <row r="14" spans="1:20" x14ac:dyDescent="0.25">
      <c r="A14">
        <v>13</v>
      </c>
      <c r="B14" t="s">
        <v>15</v>
      </c>
      <c r="J14">
        <v>617</v>
      </c>
      <c r="K14">
        <v>667</v>
      </c>
      <c r="L14">
        <v>642</v>
      </c>
      <c r="M14" t="s">
        <v>15</v>
      </c>
      <c r="P14">
        <v>13</v>
      </c>
      <c r="Q14">
        <v>48</v>
      </c>
    </row>
    <row r="15" spans="1:20" x14ac:dyDescent="0.25">
      <c r="A15">
        <v>14</v>
      </c>
      <c r="B15" t="s">
        <v>0</v>
      </c>
      <c r="J15">
        <v>664</v>
      </c>
      <c r="K15">
        <v>694</v>
      </c>
      <c r="L15">
        <v>679</v>
      </c>
      <c r="M15" t="s">
        <v>0</v>
      </c>
      <c r="P15">
        <v>14</v>
      </c>
      <c r="Q15">
        <v>50</v>
      </c>
    </row>
    <row r="16" spans="1:20" x14ac:dyDescent="0.25">
      <c r="A16">
        <v>15</v>
      </c>
      <c r="B16" t="s">
        <v>16</v>
      </c>
      <c r="J16">
        <v>710</v>
      </c>
      <c r="K16">
        <v>730</v>
      </c>
      <c r="L16">
        <v>690</v>
      </c>
      <c r="M16" t="s">
        <v>16</v>
      </c>
      <c r="P16">
        <v>15</v>
      </c>
      <c r="Q16">
        <v>52</v>
      </c>
    </row>
    <row r="17" spans="1:17" x14ac:dyDescent="0.25">
      <c r="B17" t="s">
        <v>17</v>
      </c>
      <c r="C17" t="s">
        <v>65</v>
      </c>
      <c r="E17" t="s">
        <v>65</v>
      </c>
      <c r="J17">
        <v>735</v>
      </c>
      <c r="K17">
        <v>765</v>
      </c>
      <c r="L17">
        <v>735</v>
      </c>
      <c r="M17" t="s">
        <v>17</v>
      </c>
      <c r="P17">
        <v>16</v>
      </c>
      <c r="Q17">
        <v>54</v>
      </c>
    </row>
    <row r="18" spans="1:17" x14ac:dyDescent="0.25">
      <c r="A18">
        <v>16</v>
      </c>
      <c r="B18" t="s">
        <v>18</v>
      </c>
      <c r="J18">
        <v>791</v>
      </c>
      <c r="K18">
        <v>791</v>
      </c>
      <c r="L18">
        <v>791</v>
      </c>
      <c r="M18" t="s">
        <v>18</v>
      </c>
      <c r="P18">
        <v>17</v>
      </c>
      <c r="Q18">
        <v>56</v>
      </c>
    </row>
    <row r="19" spans="1:17" x14ac:dyDescent="0.25">
      <c r="A19">
        <v>17</v>
      </c>
      <c r="B19" t="s">
        <v>83</v>
      </c>
      <c r="J19">
        <v>818</v>
      </c>
      <c r="K19">
        <v>818</v>
      </c>
      <c r="L19">
        <v>818</v>
      </c>
      <c r="M19" t="s">
        <v>83</v>
      </c>
      <c r="P19">
        <v>18</v>
      </c>
      <c r="Q19">
        <v>58</v>
      </c>
    </row>
    <row r="20" spans="1:17" x14ac:dyDescent="0.25">
      <c r="A20">
        <v>18</v>
      </c>
      <c r="B20" t="s">
        <v>19</v>
      </c>
      <c r="C20" t="s">
        <v>65</v>
      </c>
      <c r="E20" t="s">
        <v>65</v>
      </c>
      <c r="J20">
        <v>857</v>
      </c>
      <c r="K20">
        <v>867</v>
      </c>
      <c r="L20">
        <v>847</v>
      </c>
      <c r="M20" t="s">
        <v>19</v>
      </c>
      <c r="P20">
        <v>19</v>
      </c>
      <c r="Q20">
        <v>60</v>
      </c>
    </row>
    <row r="21" spans="1:17" x14ac:dyDescent="0.25">
      <c r="A21">
        <v>19</v>
      </c>
      <c r="B21" t="s">
        <v>20</v>
      </c>
      <c r="D21" t="s">
        <v>65</v>
      </c>
      <c r="J21">
        <v>886</v>
      </c>
      <c r="K21">
        <v>881</v>
      </c>
      <c r="L21">
        <v>891</v>
      </c>
      <c r="M21" t="s">
        <v>20</v>
      </c>
      <c r="P21">
        <v>20</v>
      </c>
      <c r="Q21">
        <v>62</v>
      </c>
    </row>
    <row r="22" spans="1:17" x14ac:dyDescent="0.25">
      <c r="B22" t="s">
        <v>21</v>
      </c>
      <c r="D22" t="s">
        <v>65</v>
      </c>
      <c r="J22">
        <v>911</v>
      </c>
      <c r="K22">
        <v>916</v>
      </c>
      <c r="L22">
        <v>906</v>
      </c>
      <c r="M22" t="s">
        <v>21</v>
      </c>
      <c r="O22" t="s">
        <v>71</v>
      </c>
      <c r="P22">
        <v>21</v>
      </c>
      <c r="Q22">
        <v>64</v>
      </c>
    </row>
    <row r="23" spans="1:17" x14ac:dyDescent="0.25">
      <c r="A23">
        <v>20</v>
      </c>
      <c r="B23" t="s">
        <v>22</v>
      </c>
      <c r="J23">
        <v>957</v>
      </c>
      <c r="K23">
        <v>982</v>
      </c>
      <c r="L23">
        <v>962</v>
      </c>
      <c r="M23" t="s">
        <v>22</v>
      </c>
      <c r="P23">
        <v>22</v>
      </c>
      <c r="Q23">
        <v>67</v>
      </c>
    </row>
    <row r="24" spans="1:17" x14ac:dyDescent="0.25">
      <c r="Q24">
        <f>SUM(Q2:Q23)</f>
        <v>1000</v>
      </c>
    </row>
    <row r="25" spans="1:17" x14ac:dyDescent="0.25">
      <c r="E25" t="s">
        <v>74</v>
      </c>
      <c r="F25" t="s">
        <v>63</v>
      </c>
      <c r="G25" t="s">
        <v>73</v>
      </c>
      <c r="H25" t="s">
        <v>69</v>
      </c>
      <c r="I25" t="s">
        <v>66</v>
      </c>
      <c r="J25" t="s">
        <v>76</v>
      </c>
      <c r="K25" t="s">
        <v>67</v>
      </c>
      <c r="L25" t="s">
        <v>75</v>
      </c>
      <c r="M25" t="s">
        <v>68</v>
      </c>
      <c r="N25" t="s">
        <v>77</v>
      </c>
    </row>
    <row r="26" spans="1:17" x14ac:dyDescent="0.25">
      <c r="E26" s="1">
        <v>1</v>
      </c>
      <c r="F26" s="1" t="s">
        <v>5</v>
      </c>
      <c r="G26">
        <v>18</v>
      </c>
      <c r="H26" s="1">
        <f>VLOOKUP(RollTable[[#This Row],[Popularity]],$P$2:$Q$23,2)</f>
        <v>58</v>
      </c>
      <c r="I26">
        <v>25</v>
      </c>
      <c r="J26" s="1">
        <f>RollTable[[#This Row],[Base]]+RollTable[[#This Row],[Attack]]</f>
        <v>83</v>
      </c>
      <c r="K26">
        <v>-15</v>
      </c>
      <c r="L26" s="1">
        <f>RollTable[[#This Row],[Base]]+RollTable[[#This Row],[Defense]]</f>
        <v>43</v>
      </c>
      <c r="M26">
        <v>-10</v>
      </c>
      <c r="N26">
        <f>RollTable[[#This Row],[Base]]+RollTable[[#This Row],[Control]]</f>
        <v>48</v>
      </c>
    </row>
    <row r="27" spans="1:17" x14ac:dyDescent="0.25">
      <c r="E27">
        <v>2</v>
      </c>
      <c r="F27" t="s">
        <v>62</v>
      </c>
      <c r="G27">
        <v>13</v>
      </c>
      <c r="H27" s="1">
        <f>VLOOKUP(RollTable[[#This Row],[Popularity]],$P$2:$Q$23,2)</f>
        <v>48</v>
      </c>
      <c r="I27">
        <v>0</v>
      </c>
      <c r="J27">
        <f>RollTable[[#This Row],[Base]]+RollTable[[#This Row],[Attack]]</f>
        <v>48</v>
      </c>
      <c r="K27">
        <v>0</v>
      </c>
      <c r="L27">
        <f>RollTable[[#This Row],[Base]]+RollTable[[#This Row],[Defense]]</f>
        <v>48</v>
      </c>
      <c r="M27">
        <v>0</v>
      </c>
      <c r="N27">
        <f>RollTable[[#This Row],[Base]]+RollTable[[#This Row],[Control]]</f>
        <v>48</v>
      </c>
    </row>
    <row r="28" spans="1:17" x14ac:dyDescent="0.25">
      <c r="E28">
        <v>3</v>
      </c>
      <c r="F28" t="s">
        <v>6</v>
      </c>
      <c r="G28">
        <v>11</v>
      </c>
      <c r="H28" s="1">
        <f>VLOOKUP(RollTable[[#This Row],[Popularity]],$P$2:$Q$23,2)</f>
        <v>44</v>
      </c>
      <c r="I28">
        <v>5</v>
      </c>
      <c r="J28">
        <f>RollTable[[#This Row],[Base]]+RollTable[[#This Row],[Attack]]</f>
        <v>49</v>
      </c>
      <c r="K28">
        <v>-15</v>
      </c>
      <c r="L28">
        <f>RollTable[[#This Row],[Base]]+RollTable[[#This Row],[Defense]]</f>
        <v>29</v>
      </c>
      <c r="M28">
        <v>10</v>
      </c>
      <c r="N28">
        <f>RollTable[[#This Row],[Base]]+RollTable[[#This Row],[Control]]</f>
        <v>54</v>
      </c>
    </row>
    <row r="29" spans="1:17" x14ac:dyDescent="0.25">
      <c r="E29">
        <v>4</v>
      </c>
      <c r="F29" t="s">
        <v>7</v>
      </c>
      <c r="G29">
        <v>9</v>
      </c>
      <c r="H29" s="1">
        <f>VLOOKUP(RollTable[[#This Row],[Popularity]],$P$2:$Q$23,2)</f>
        <v>41</v>
      </c>
      <c r="I29">
        <v>10</v>
      </c>
      <c r="J29">
        <f>RollTable[[#This Row],[Base]]+RollTable[[#This Row],[Attack]]</f>
        <v>51</v>
      </c>
      <c r="K29">
        <v>-20</v>
      </c>
      <c r="L29">
        <f>RollTable[[#This Row],[Base]]+RollTable[[#This Row],[Defense]]</f>
        <v>21</v>
      </c>
      <c r="M29">
        <v>10</v>
      </c>
      <c r="N29">
        <f>RollTable[[#This Row],[Base]]+RollTable[[#This Row],[Control]]</f>
        <v>51</v>
      </c>
    </row>
    <row r="30" spans="1:17" x14ac:dyDescent="0.25">
      <c r="E30" s="1">
        <v>5</v>
      </c>
      <c r="F30" t="s">
        <v>8</v>
      </c>
      <c r="G30">
        <v>10</v>
      </c>
      <c r="H30" s="1">
        <f>VLOOKUP(RollTable[[#This Row],[Popularity]],$P$2:$Q$23,2)</f>
        <v>42</v>
      </c>
      <c r="I30">
        <v>10</v>
      </c>
      <c r="J30" s="1">
        <f>RollTable[[#This Row],[Base]]+RollTable[[#This Row],[Attack]]</f>
        <v>52</v>
      </c>
      <c r="K30">
        <v>-10</v>
      </c>
      <c r="L30">
        <f>RollTable[[#This Row],[Base]]+RollTable[[#This Row],[Defense]]</f>
        <v>32</v>
      </c>
      <c r="M30">
        <v>0</v>
      </c>
      <c r="N30">
        <f>RollTable[[#This Row],[Base]]+RollTable[[#This Row],[Control]]</f>
        <v>42</v>
      </c>
    </row>
    <row r="31" spans="1:17" x14ac:dyDescent="0.25">
      <c r="E31">
        <v>6</v>
      </c>
      <c r="F31" t="s">
        <v>9</v>
      </c>
      <c r="G31">
        <v>21</v>
      </c>
      <c r="H31" s="1">
        <f>VLOOKUP(RollTable[[#This Row],[Popularity]],$P$2:$Q$23,2)</f>
        <v>64</v>
      </c>
      <c r="I31">
        <v>10</v>
      </c>
      <c r="J31">
        <f>RollTable[[#This Row],[Base]]+RollTable[[#This Row],[Attack]]</f>
        <v>74</v>
      </c>
      <c r="K31">
        <v>-20</v>
      </c>
      <c r="L31">
        <f>RollTable[[#This Row],[Base]]+RollTable[[#This Row],[Defense]]</f>
        <v>44</v>
      </c>
      <c r="M31">
        <v>10</v>
      </c>
      <c r="N31">
        <f>RollTable[[#This Row],[Base]]+RollTable[[#This Row],[Control]]</f>
        <v>74</v>
      </c>
    </row>
    <row r="32" spans="1:17" x14ac:dyDescent="0.25">
      <c r="E32">
        <v>7</v>
      </c>
      <c r="F32" t="s">
        <v>10</v>
      </c>
      <c r="G32">
        <v>22</v>
      </c>
      <c r="H32" s="1">
        <f>VLOOKUP(RollTable[[#This Row],[Popularity]],$P$2:$Q$23,2)</f>
        <v>67</v>
      </c>
      <c r="I32">
        <v>-15</v>
      </c>
      <c r="J32">
        <f>RollTable[[#This Row],[Base]]+RollTable[[#This Row],[Attack]]</f>
        <v>52</v>
      </c>
      <c r="K32">
        <v>20</v>
      </c>
      <c r="L32">
        <f>RollTable[[#This Row],[Base]]+RollTable[[#This Row],[Defense]]</f>
        <v>87</v>
      </c>
      <c r="M32">
        <v>-5</v>
      </c>
      <c r="N32">
        <f>RollTable[[#This Row],[Base]]+RollTable[[#This Row],[Control]]</f>
        <v>62</v>
      </c>
    </row>
    <row r="33" spans="5:14" x14ac:dyDescent="0.25">
      <c r="E33">
        <v>8</v>
      </c>
      <c r="F33" t="s">
        <v>11</v>
      </c>
      <c r="G33">
        <v>20</v>
      </c>
      <c r="H33" s="1">
        <f>VLOOKUP(RollTable[[#This Row],[Popularity]],$P$2:$Q$23,2)</f>
        <v>62</v>
      </c>
      <c r="I33">
        <v>-10</v>
      </c>
      <c r="J33">
        <f>RollTable[[#This Row],[Base]]+RollTable[[#This Row],[Attack]]</f>
        <v>52</v>
      </c>
      <c r="K33">
        <v>20</v>
      </c>
      <c r="L33">
        <f>RollTable[[#This Row],[Base]]+RollTable[[#This Row],[Defense]]</f>
        <v>82</v>
      </c>
      <c r="M33">
        <v>-10</v>
      </c>
      <c r="N33">
        <f>RollTable[[#This Row],[Base]]+RollTable[[#This Row],[Control]]</f>
        <v>52</v>
      </c>
    </row>
    <row r="34" spans="5:14" x14ac:dyDescent="0.25">
      <c r="E34" s="1">
        <v>9</v>
      </c>
      <c r="F34" t="s">
        <v>12</v>
      </c>
      <c r="G34">
        <v>15</v>
      </c>
      <c r="H34" s="1">
        <f>VLOOKUP(RollTable[[#This Row],[Popularity]],$P$2:$Q$23,2)</f>
        <v>52</v>
      </c>
      <c r="I34">
        <v>-20</v>
      </c>
      <c r="J34" s="1">
        <f>RollTable[[#This Row],[Base]]+RollTable[[#This Row],[Attack]]</f>
        <v>32</v>
      </c>
      <c r="K34">
        <v>15</v>
      </c>
      <c r="L34">
        <f>RollTable[[#This Row],[Base]]+RollTable[[#This Row],[Defense]]</f>
        <v>67</v>
      </c>
      <c r="M34">
        <v>5</v>
      </c>
      <c r="N34">
        <f>RollTable[[#This Row],[Base]]+RollTable[[#This Row],[Control]]</f>
        <v>57</v>
      </c>
    </row>
    <row r="35" spans="5:14" x14ac:dyDescent="0.25">
      <c r="E35">
        <v>10</v>
      </c>
      <c r="F35" t="s">
        <v>13</v>
      </c>
      <c r="G35">
        <v>14</v>
      </c>
      <c r="H35" s="1">
        <f>VLOOKUP(RollTable[[#This Row],[Popularity]],$P$2:$Q$23,2)</f>
        <v>50</v>
      </c>
      <c r="I35">
        <v>-10</v>
      </c>
      <c r="J35">
        <f>RollTable[[#This Row],[Base]]+RollTable[[#This Row],[Attack]]</f>
        <v>40</v>
      </c>
      <c r="K35">
        <v>5</v>
      </c>
      <c r="L35">
        <f>RollTable[[#This Row],[Base]]+RollTable[[#This Row],[Defense]]</f>
        <v>55</v>
      </c>
      <c r="M35">
        <v>5</v>
      </c>
      <c r="N35">
        <f>RollTable[[#This Row],[Base]]+RollTable[[#This Row],[Control]]</f>
        <v>55</v>
      </c>
    </row>
    <row r="36" spans="5:14" x14ac:dyDescent="0.25">
      <c r="E36">
        <v>11</v>
      </c>
      <c r="F36" t="s">
        <v>23</v>
      </c>
      <c r="G36">
        <v>16</v>
      </c>
      <c r="H36" s="1">
        <f>VLOOKUP(RollTable[[#This Row],[Popularity]],$P$2:$Q$23,2)</f>
        <v>54</v>
      </c>
      <c r="I36">
        <v>-20</v>
      </c>
      <c r="J36">
        <f>RollTable[[#This Row],[Base]]+RollTable[[#This Row],[Attack]]</f>
        <v>34</v>
      </c>
      <c r="K36">
        <v>20</v>
      </c>
      <c r="L36">
        <f>RollTable[[#This Row],[Base]]+RollTable[[#This Row],[Defense]]</f>
        <v>74</v>
      </c>
      <c r="M36">
        <v>0</v>
      </c>
      <c r="N36">
        <f>RollTable[[#This Row],[Base]]+RollTable[[#This Row],[Control]]</f>
        <v>54</v>
      </c>
    </row>
    <row r="37" spans="5:14" x14ac:dyDescent="0.25">
      <c r="E37">
        <v>12</v>
      </c>
      <c r="F37" t="s">
        <v>14</v>
      </c>
      <c r="G37">
        <v>19</v>
      </c>
      <c r="H37" s="1">
        <f>VLOOKUP(RollTable[[#This Row],[Popularity]],$P$2:$Q$23,2)</f>
        <v>60</v>
      </c>
      <c r="I37">
        <v>-10</v>
      </c>
      <c r="J37">
        <f>RollTable[[#This Row],[Base]]+RollTable[[#This Row],[Attack]]</f>
        <v>50</v>
      </c>
      <c r="K37">
        <v>25</v>
      </c>
      <c r="L37">
        <f>RollTable[[#This Row],[Base]]+RollTable[[#This Row],[Defense]]</f>
        <v>85</v>
      </c>
      <c r="M37">
        <v>-15</v>
      </c>
      <c r="N37">
        <f>RollTable[[#This Row],[Base]]+RollTable[[#This Row],[Control]]</f>
        <v>45</v>
      </c>
    </row>
    <row r="38" spans="5:14" x14ac:dyDescent="0.25">
      <c r="E38" s="1">
        <v>13</v>
      </c>
      <c r="F38" t="s">
        <v>15</v>
      </c>
      <c r="G38">
        <v>7</v>
      </c>
      <c r="H38" s="1">
        <f>VLOOKUP(RollTable[[#This Row],[Popularity]],$P$2:$Q$23,2)</f>
        <v>37</v>
      </c>
      <c r="I38">
        <v>10</v>
      </c>
      <c r="J38" s="1">
        <f>RollTable[[#This Row],[Base]]+RollTable[[#This Row],[Attack]]</f>
        <v>47</v>
      </c>
      <c r="K38">
        <v>-10</v>
      </c>
      <c r="L38">
        <f>RollTable[[#This Row],[Base]]+RollTable[[#This Row],[Defense]]</f>
        <v>27</v>
      </c>
      <c r="M38">
        <v>0</v>
      </c>
      <c r="N38">
        <f>RollTable[[#This Row],[Base]]+RollTable[[#This Row],[Control]]</f>
        <v>37</v>
      </c>
    </row>
    <row r="39" spans="5:14" x14ac:dyDescent="0.25">
      <c r="E39">
        <v>14</v>
      </c>
      <c r="F39" t="s">
        <v>0</v>
      </c>
      <c r="G39">
        <v>4</v>
      </c>
      <c r="H39" s="1">
        <f>VLOOKUP(RollTable[[#This Row],[Popularity]],$P$2:$Q$23,2)</f>
        <v>31</v>
      </c>
      <c r="I39">
        <v>15</v>
      </c>
      <c r="J39">
        <f>RollTable[[#This Row],[Base]]+RollTable[[#This Row],[Attack]]</f>
        <v>46</v>
      </c>
      <c r="K39">
        <v>5</v>
      </c>
      <c r="L39">
        <f>RollTable[[#This Row],[Base]]+RollTable[[#This Row],[Defense]]</f>
        <v>36</v>
      </c>
      <c r="M39">
        <v>-20</v>
      </c>
      <c r="N39">
        <f>RollTable[[#This Row],[Base]]+RollTable[[#This Row],[Control]]</f>
        <v>11</v>
      </c>
    </row>
    <row r="40" spans="5:14" x14ac:dyDescent="0.25">
      <c r="E40">
        <v>15</v>
      </c>
      <c r="F40" t="s">
        <v>16</v>
      </c>
      <c r="G40">
        <v>6</v>
      </c>
      <c r="H40" s="1">
        <f>VLOOKUP(RollTable[[#This Row],[Popularity]],$P$2:$Q$23,2)</f>
        <v>35</v>
      </c>
      <c r="I40">
        <v>-10</v>
      </c>
      <c r="J40">
        <f>RollTable[[#This Row],[Base]]+RollTable[[#This Row],[Attack]]</f>
        <v>25</v>
      </c>
      <c r="K40">
        <v>0</v>
      </c>
      <c r="L40">
        <f>RollTable[[#This Row],[Base]]+RollTable[[#This Row],[Defense]]</f>
        <v>35</v>
      </c>
      <c r="M40">
        <v>10</v>
      </c>
      <c r="N40">
        <f>RollTable[[#This Row],[Base]]+RollTable[[#This Row],[Control]]</f>
        <v>45</v>
      </c>
    </row>
    <row r="41" spans="5:14" x14ac:dyDescent="0.25">
      <c r="E41">
        <v>16</v>
      </c>
      <c r="F41" t="s">
        <v>17</v>
      </c>
      <c r="G41">
        <v>12</v>
      </c>
      <c r="H41" s="1">
        <f>VLOOKUP(RollTable[[#This Row],[Popularity]],$P$2:$Q$23,2)</f>
        <v>46</v>
      </c>
      <c r="I41">
        <v>10</v>
      </c>
      <c r="J41">
        <f>RollTable[[#This Row],[Base]]+RollTable[[#This Row],[Attack]]</f>
        <v>56</v>
      </c>
      <c r="K41">
        <v>-20</v>
      </c>
      <c r="L41">
        <f>RollTable[[#This Row],[Base]]+RollTable[[#This Row],[Defense]]</f>
        <v>26</v>
      </c>
      <c r="M41">
        <v>10</v>
      </c>
      <c r="N41">
        <f>RollTable[[#This Row],[Base]]+RollTable[[#This Row],[Control]]</f>
        <v>56</v>
      </c>
    </row>
    <row r="42" spans="5:14" x14ac:dyDescent="0.25">
      <c r="E42" s="1">
        <v>17</v>
      </c>
      <c r="F42" t="s">
        <v>18</v>
      </c>
      <c r="G42">
        <v>2</v>
      </c>
      <c r="H42" s="1">
        <f>VLOOKUP(RollTable[[#This Row],[Popularity]],$P$2:$Q$23,2)</f>
        <v>27</v>
      </c>
      <c r="I42">
        <v>0</v>
      </c>
      <c r="J42" s="1">
        <f>RollTable[[#This Row],[Base]]+RollTable[[#This Row],[Attack]]</f>
        <v>27</v>
      </c>
      <c r="K42">
        <v>0</v>
      </c>
      <c r="L42">
        <f>RollTable[[#This Row],[Base]]+RollTable[[#This Row],[Defense]]</f>
        <v>27</v>
      </c>
      <c r="M42">
        <v>0</v>
      </c>
      <c r="N42">
        <f>RollTable[[#This Row],[Base]]+RollTable[[#This Row],[Control]]</f>
        <v>27</v>
      </c>
    </row>
    <row r="43" spans="5:14" x14ac:dyDescent="0.25">
      <c r="E43">
        <v>18</v>
      </c>
      <c r="F43" t="s">
        <v>83</v>
      </c>
      <c r="G43">
        <v>8</v>
      </c>
      <c r="H43" s="9">
        <f>VLOOKUP(RollTable[[#This Row],[Popularity]],$P$2:$Q$23,2)</f>
        <v>39</v>
      </c>
      <c r="I43">
        <v>0</v>
      </c>
      <c r="J43" s="9">
        <f>RollTable[[#This Row],[Base]]+RollTable[[#This Row],[Attack]]</f>
        <v>39</v>
      </c>
      <c r="K43">
        <v>10</v>
      </c>
      <c r="L43" s="9">
        <f>RollTable[[#This Row],[Base]]+RollTable[[#This Row],[Defense]]</f>
        <v>49</v>
      </c>
      <c r="M43">
        <v>-10</v>
      </c>
      <c r="N43" s="9">
        <f>RollTable[[#This Row],[Base]]+RollTable[[#This Row],[Control]]</f>
        <v>29</v>
      </c>
    </row>
    <row r="44" spans="5:14" x14ac:dyDescent="0.25">
      <c r="E44">
        <v>19</v>
      </c>
      <c r="F44" t="s">
        <v>19</v>
      </c>
      <c r="G44">
        <v>3</v>
      </c>
      <c r="H44" s="1">
        <f>VLOOKUP(RollTable[[#This Row],[Popularity]],$P$2:$Q$23,2)</f>
        <v>29</v>
      </c>
      <c r="I44">
        <v>0</v>
      </c>
      <c r="J44">
        <f>RollTable[[#This Row],[Base]]+RollTable[[#This Row],[Attack]]</f>
        <v>29</v>
      </c>
      <c r="K44">
        <v>-15</v>
      </c>
      <c r="L44">
        <f>RollTable[[#This Row],[Base]]+RollTable[[#This Row],[Defense]]</f>
        <v>14</v>
      </c>
      <c r="M44">
        <v>15</v>
      </c>
      <c r="N44">
        <f>RollTable[[#This Row],[Base]]+RollTable[[#This Row],[Control]]</f>
        <v>44</v>
      </c>
    </row>
    <row r="45" spans="5:14" x14ac:dyDescent="0.25">
      <c r="E45">
        <v>20</v>
      </c>
      <c r="F45" t="s">
        <v>20</v>
      </c>
      <c r="G45">
        <v>1</v>
      </c>
      <c r="H45" s="1">
        <f>VLOOKUP(RollTable[[#This Row],[Popularity]],$P$2:$Q$23,2)</f>
        <v>25</v>
      </c>
      <c r="I45">
        <v>0</v>
      </c>
      <c r="J45">
        <f>RollTable[[#This Row],[Base]]+RollTable[[#This Row],[Attack]]</f>
        <v>25</v>
      </c>
      <c r="K45">
        <v>10</v>
      </c>
      <c r="L45">
        <f>RollTable[[#This Row],[Base]]+RollTable[[#This Row],[Defense]]</f>
        <v>35</v>
      </c>
      <c r="M45">
        <v>-10</v>
      </c>
      <c r="N45">
        <f>RollTable[[#This Row],[Base]]+RollTable[[#This Row],[Control]]</f>
        <v>15</v>
      </c>
    </row>
    <row r="46" spans="5:14" x14ac:dyDescent="0.25">
      <c r="E46">
        <v>21</v>
      </c>
      <c r="F46" t="s">
        <v>21</v>
      </c>
      <c r="G46">
        <v>17</v>
      </c>
      <c r="H46" s="1">
        <f>VLOOKUP(RollTable[[#This Row],[Popularity]],$P$2:$Q$23,2)</f>
        <v>56</v>
      </c>
      <c r="I46">
        <v>-10</v>
      </c>
      <c r="J46">
        <f>RollTable[[#This Row],[Base]]+RollTable[[#This Row],[Attack]]</f>
        <v>46</v>
      </c>
      <c r="K46">
        <v>10</v>
      </c>
      <c r="L46">
        <f>RollTable[[#This Row],[Base]]+RollTable[[#This Row],[Defense]]</f>
        <v>66</v>
      </c>
      <c r="M46">
        <v>0</v>
      </c>
      <c r="N46">
        <f>RollTable[[#This Row],[Base]]+RollTable[[#This Row],[Control]]</f>
        <v>56</v>
      </c>
    </row>
    <row r="47" spans="5:14" x14ac:dyDescent="0.25">
      <c r="E47" s="1">
        <v>22</v>
      </c>
      <c r="F47" t="s">
        <v>22</v>
      </c>
      <c r="G47">
        <v>5</v>
      </c>
      <c r="H47" s="1">
        <f>VLOOKUP(RollTable[[#This Row],[Popularity]],$P$2:$Q$23,2)</f>
        <v>33</v>
      </c>
      <c r="I47">
        <v>10</v>
      </c>
      <c r="J47" s="1">
        <f>RollTable[[#This Row],[Base]]+RollTable[[#This Row],[Attack]]</f>
        <v>43</v>
      </c>
      <c r="K47">
        <v>-15</v>
      </c>
      <c r="L47">
        <f>RollTable[[#This Row],[Base]]+RollTable[[#This Row],[Defense]]</f>
        <v>18</v>
      </c>
      <c r="M47">
        <v>5</v>
      </c>
      <c r="N47">
        <f>RollTable[[#This Row],[Base]]+RollTable[[#This Row],[Control]]</f>
        <v>38</v>
      </c>
    </row>
    <row r="48" spans="5:14" x14ac:dyDescent="0.25">
      <c r="H48" s="9"/>
      <c r="I48">
        <f t="shared" ref="I48:N48" si="0">SUM(I26:I47)</f>
        <v>0</v>
      </c>
      <c r="J48" s="9">
        <f t="shared" si="0"/>
        <v>1000</v>
      </c>
      <c r="K48">
        <f t="shared" si="0"/>
        <v>0</v>
      </c>
      <c r="L48" s="9">
        <f t="shared" si="0"/>
        <v>1000</v>
      </c>
      <c r="M48">
        <f t="shared" si="0"/>
        <v>0</v>
      </c>
      <c r="N48" s="9">
        <f t="shared" si="0"/>
        <v>1000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_Lists">
                <anchor moveWithCells="1">
                  <from>
                    <xdr:col>5</xdr:col>
                    <xdr:colOff>457200</xdr:colOff>
                    <xdr:row>1</xdr:row>
                    <xdr:rowOff>95250</xdr:rowOff>
                  </from>
                  <to>
                    <xdr:col>6</xdr:col>
                    <xdr:colOff>390525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AF30"/>
  <sheetViews>
    <sheetView workbookViewId="0">
      <selection activeCell="K30" sqref="K30"/>
    </sheetView>
  </sheetViews>
  <sheetFormatPr defaultRowHeight="15" x14ac:dyDescent="0.25"/>
  <cols>
    <col min="1" max="1" width="17.5703125" customWidth="1"/>
    <col min="2" max="2" width="11" customWidth="1"/>
    <col min="3" max="3" width="11.7109375" customWidth="1"/>
    <col min="14" max="30" width="3.7109375" customWidth="1"/>
    <col min="31" max="31" width="7" customWidth="1"/>
    <col min="32" max="32" width="10.7109375" customWidth="1"/>
    <col min="33" max="33" width="3.85546875" customWidth="1"/>
  </cols>
  <sheetData>
    <row r="3" spans="1:32" x14ac:dyDescent="0.25">
      <c r="A3" t="s">
        <v>31</v>
      </c>
      <c r="B3" t="s">
        <v>6</v>
      </c>
      <c r="C3" t="s">
        <v>19</v>
      </c>
      <c r="D3" t="s">
        <v>20</v>
      </c>
      <c r="E3" t="s">
        <v>0</v>
      </c>
      <c r="F3" t="s">
        <v>8</v>
      </c>
      <c r="G3" t="s">
        <v>18</v>
      </c>
      <c r="L3" t="s">
        <v>34</v>
      </c>
      <c r="M3" t="s">
        <v>35</v>
      </c>
      <c r="N3" t="s">
        <v>37</v>
      </c>
      <c r="O3" t="s">
        <v>38</v>
      </c>
      <c r="P3" t="s">
        <v>39</v>
      </c>
      <c r="Q3" t="s">
        <v>40</v>
      </c>
      <c r="R3" t="s">
        <v>41</v>
      </c>
      <c r="S3" t="s">
        <v>42</v>
      </c>
      <c r="T3" t="s">
        <v>43</v>
      </c>
      <c r="U3" t="s">
        <v>44</v>
      </c>
      <c r="V3" t="s">
        <v>45</v>
      </c>
      <c r="W3" t="s">
        <v>46</v>
      </c>
      <c r="X3" t="s">
        <v>47</v>
      </c>
      <c r="Y3" t="s">
        <v>54</v>
      </c>
      <c r="Z3" t="s">
        <v>55</v>
      </c>
      <c r="AA3" t="s">
        <v>56</v>
      </c>
      <c r="AB3" t="s">
        <v>57</v>
      </c>
      <c r="AC3" t="s">
        <v>58</v>
      </c>
      <c r="AD3" t="s">
        <v>59</v>
      </c>
    </row>
    <row r="4" spans="1:32" x14ac:dyDescent="0.25">
      <c r="A4" t="s">
        <v>36</v>
      </c>
      <c r="B4" s="1">
        <f>VLOOKUP(B3,L4:M24,2,FALSE)</f>
        <v>3</v>
      </c>
      <c r="C4" s="1">
        <f>VLOOKUP(C3,L4:M24,2,FALSE)</f>
        <v>18</v>
      </c>
      <c r="D4" s="1">
        <f>VLOOKUP(D3,L4:M24,2,FALSE)</f>
        <v>19</v>
      </c>
      <c r="E4" s="1">
        <f>VLOOKUP(E3,L4:M24,2,FALSE)</f>
        <v>14</v>
      </c>
      <c r="F4" s="1">
        <f>VLOOKUP(F3,L4:M24,2,FALSE)</f>
        <v>5</v>
      </c>
      <c r="G4" s="1">
        <f>VLOOKUP(G3,L4:M24,2,FALSE)</f>
        <v>17</v>
      </c>
      <c r="I4" t="s">
        <v>49</v>
      </c>
      <c r="L4" t="s">
        <v>5</v>
      </c>
      <c r="M4">
        <v>1</v>
      </c>
      <c r="N4">
        <f>IF(ISNUMBER(FIND("s",INDEX(TData!B16:W37,1,Tactics!B7))),I7,0)</f>
        <v>0</v>
      </c>
      <c r="O4">
        <f>IF(ISNUMBER(FIND("s",INDEX(TData!B16:W37,1,Tactics!C7))),I7,0)</f>
        <v>0</v>
      </c>
      <c r="P4">
        <f>IF(ISNUMBER(FIND("s",INDEX(TData!B16:W37,1,Tactics!D7))),I7,0)</f>
        <v>0</v>
      </c>
      <c r="Q4">
        <f>IF(ISNUMBER(FIND("s",INDEX(TData!B16:W37,1,Tactics!E7))),I7,0)</f>
        <v>0</v>
      </c>
      <c r="R4">
        <f>IF(ISNUMBER(FIND("s",INDEX(TData!B16:W37,1,Tactics!F7))),I7,0)</f>
        <v>0</v>
      </c>
      <c r="S4">
        <f>IF(ISNUMBER(FIND("c",INDEX(TData!B16:W37,1,Tactics!B4))),I5,0)</f>
        <v>0</v>
      </c>
      <c r="T4">
        <f>IF(ISNUMBER(FIND("c",INDEX(TData!B16:W37,1,Tactics!C4))),I5,0)</f>
        <v>0</v>
      </c>
      <c r="U4">
        <f>IF(ISNUMBER(FIND("c",INDEX(TData!B16:W37,1,Tactics!D4))),I5,0)</f>
        <v>0</v>
      </c>
      <c r="V4">
        <f>IF(ISNUMBER(FIND("c",INDEX(TData!B16:W37,1,Tactics!E4))),I5,0)</f>
        <v>0</v>
      </c>
      <c r="W4">
        <f>IF(ISNUMBER(FIND("c",INDEX(TData!B16:W37,1,Tactics!F4))),I5,0)</f>
        <v>0</v>
      </c>
      <c r="X4">
        <f>IF(ISNUMBER(FIND("c",INDEX(TData!B16:W37,1,Tactics!G4))),I5,0)</f>
        <v>0</v>
      </c>
      <c r="Y4">
        <f>IF(ISNUMBER(FIND("x",INDEX(TData!B16:W37,1,Tactics!B4))),I9,0)</f>
        <v>0</v>
      </c>
      <c r="Z4">
        <f>IF(ISNUMBER(FIND("x",INDEX(TData!B16:W37,1,Tactics!C4))),I9,0)</f>
        <v>0</v>
      </c>
      <c r="AA4">
        <f>IF(ISNUMBER(FIND("x",INDEX(TData!B16:W37,1,Tactics!D4))),I9,0)</f>
        <v>0</v>
      </c>
      <c r="AB4">
        <f>IF(ISNUMBER(FIND("x",INDEX(TData!B16:W37,1,Tactics!E4))),I9,0)</f>
        <v>0</v>
      </c>
      <c r="AC4">
        <f>IF(ISNUMBER(FIND("x",INDEX(TData!B16:W37,1,Tactics!F4))),I9,0)</f>
        <v>0</v>
      </c>
      <c r="AD4">
        <f>IF(ISNUMBER(FIND("x",INDEX(TData!B16:W37,1,Tactics!G4))),I9,0)</f>
        <v>-1</v>
      </c>
      <c r="AE4">
        <f t="shared" ref="AE4:AE24" si="0">SUM(N4:AD4)</f>
        <v>-1</v>
      </c>
      <c r="AF4" t="s">
        <v>5</v>
      </c>
    </row>
    <row r="5" spans="1:32" x14ac:dyDescent="0.25">
      <c r="I5">
        <v>1</v>
      </c>
      <c r="L5" t="s">
        <v>62</v>
      </c>
      <c r="M5">
        <v>2</v>
      </c>
      <c r="N5">
        <f>IF(ISNUMBER(FIND("s",INDEX(TData!B16:W37,2,Tactics!B7))),I7,0)</f>
        <v>0</v>
      </c>
      <c r="O5">
        <f>IF(ISNUMBER(FIND("s",INDEX(TData!B16:W37,2,Tactics!C7))),I7,0)</f>
        <v>0</v>
      </c>
      <c r="P5">
        <f>IF(ISNUMBER(FIND("s",INDEX(TData!B16:W37,2,Tactics!D7))),I7,0)</f>
        <v>0</v>
      </c>
      <c r="Q5">
        <f>IF(ISNUMBER(FIND("s",INDEX(TData!B16:W37,2,Tactics!E7))),I7,0)</f>
        <v>0</v>
      </c>
      <c r="R5">
        <f>IF(ISNUMBER(FIND("s",INDEX(TData!B16:W37,2,Tactics!F7))),I7,0)</f>
        <v>0</v>
      </c>
      <c r="S5">
        <f>IF(ISNUMBER(FIND("c",INDEX(TData!B16:W37,2,Tactics!B4))),I5,0)</f>
        <v>1</v>
      </c>
      <c r="T5">
        <f>IF(ISNUMBER(FIND("c",INDEX(TData!B16:W37,2,Tactics!C4))),I5,0)</f>
        <v>0</v>
      </c>
      <c r="U5">
        <f>IF(ISNUMBER(FIND("c",INDEX(TData!B16:W37,2,Tactics!D4))),I5,0)</f>
        <v>0</v>
      </c>
      <c r="V5">
        <f>IF(ISNUMBER(FIND("c",INDEX(TData!B16:W37,2,Tactics!E4))),I5,0)</f>
        <v>0</v>
      </c>
      <c r="W5">
        <f>IF(ISNUMBER(FIND("c",INDEX(TData!B16:W37,2,Tactics!F4))),I5,0)</f>
        <v>0</v>
      </c>
      <c r="X5">
        <f>IF(ISNUMBER(FIND("c",INDEX(TData!B16:W37,2,Tactics!G4))),I5,0)</f>
        <v>0</v>
      </c>
      <c r="Y5">
        <f>IF(ISNUMBER(FIND("x",INDEX(TData!B16:W37,2,Tactics!B4))),I9,0)</f>
        <v>0</v>
      </c>
      <c r="Z5">
        <f>IF(ISNUMBER(FIND("x",INDEX(TData!B16:W37,2,Tactics!C4))),I9,0)</f>
        <v>0</v>
      </c>
      <c r="AA5">
        <f>IF(ISNUMBER(FIND("x",INDEX(TData!B16:W37,2,Tactics!D4))),I9,0)</f>
        <v>0</v>
      </c>
      <c r="AB5">
        <f>IF(ISNUMBER(FIND("x",INDEX(TData!B16:W37,2,Tactics!E4))),I9,0)</f>
        <v>0</v>
      </c>
      <c r="AC5">
        <f>IF(ISNUMBER(FIND("x",INDEX(TData!B16:W37,2,Tactics!F4))),I9,0)</f>
        <v>0</v>
      </c>
      <c r="AD5">
        <f>IF(ISNUMBER(FIND("x",INDEX(TData!B16:W37,2,Tactics!G4))),I9,0)</f>
        <v>0</v>
      </c>
      <c r="AE5">
        <f t="shared" si="0"/>
        <v>1</v>
      </c>
      <c r="AF5" t="s">
        <v>62</v>
      </c>
    </row>
    <row r="6" spans="1:32" x14ac:dyDescent="0.25">
      <c r="A6" t="s">
        <v>32</v>
      </c>
      <c r="I6" t="s">
        <v>48</v>
      </c>
      <c r="L6" t="s">
        <v>6</v>
      </c>
      <c r="M6">
        <v>3</v>
      </c>
      <c r="N6">
        <f>IF(ISNUMBER(FIND("s",INDEX(TData!B16:W37,3,Tactics!B7))),I7,0)</f>
        <v>0</v>
      </c>
      <c r="O6">
        <f>IF(ISNUMBER(FIND("s",INDEX(TData!B16:W37,3,Tactics!C7))),I7,0)</f>
        <v>0</v>
      </c>
      <c r="P6">
        <f>IF(ISNUMBER(FIND("s",INDEX(TData!B16:W37,3,Tactics!D7))),I7,0)</f>
        <v>0</v>
      </c>
      <c r="Q6">
        <f>IF(ISNUMBER(FIND("s",INDEX(TData!B16:W37,3,Tactics!E7))),I7,0)</f>
        <v>0</v>
      </c>
      <c r="R6">
        <f>IF(ISNUMBER(FIND("s",INDEX(TData!B16:W37,3,Tactics!F7))),I7,0)</f>
        <v>0</v>
      </c>
      <c r="S6">
        <f>IF(ISNUMBER(FIND("c",INDEX(TData!B16:W37,3,Tactics!B4))),I5,0)</f>
        <v>0</v>
      </c>
      <c r="T6">
        <f>IF(ISNUMBER(FIND("c",INDEX(TData!B16:W37,3,Tactics!C4))),I5,0)</f>
        <v>0</v>
      </c>
      <c r="U6">
        <f>IF(ISNUMBER(FIND("c",INDEX(TData!B16:W37,3,Tactics!D4))),I5,0)</f>
        <v>0</v>
      </c>
      <c r="V6">
        <f>IF(ISNUMBER(FIND("c",INDEX(TData!B16:W37,3,Tactics!E4))),I5,0)</f>
        <v>1</v>
      </c>
      <c r="W6">
        <f>IF(ISNUMBER(FIND("c",INDEX(TData!B16:W37,3,Tactics!F4))),I5,0)</f>
        <v>0</v>
      </c>
      <c r="X6">
        <f>IF(ISNUMBER(FIND("c",INDEX(TData!B16:W37,3,Tactics!G4))),I5,0)</f>
        <v>0</v>
      </c>
      <c r="Y6">
        <f>IF(ISNUMBER(FIND("x",INDEX(TData!B16:W37,3,Tactics!B4))),I9,0)</f>
        <v>0</v>
      </c>
      <c r="Z6">
        <f>IF(ISNUMBER(FIND("x",INDEX(TData!B16:W37,3,Tactics!C4))),I9,0)</f>
        <v>0</v>
      </c>
      <c r="AA6">
        <f>IF(ISNUMBER(FIND("x",INDEX(TData!B16:W37,3,Tactics!D4))),I9,0)</f>
        <v>0</v>
      </c>
      <c r="AB6">
        <f>IF(ISNUMBER(FIND("x",INDEX(TData!B16:W37,3,Tactics!E4))),I9,0)</f>
        <v>0</v>
      </c>
      <c r="AC6">
        <f>IF(ISNUMBER(FIND("x",INDEX(TData!B16:W37,3,Tactics!F4))),I9,0)</f>
        <v>-1</v>
      </c>
      <c r="AD6">
        <f>IF(ISNUMBER(FIND("x",INDEX(TData!B16:W37,3,Tactics!G4))),I9,0)</f>
        <v>0</v>
      </c>
      <c r="AE6">
        <f t="shared" si="0"/>
        <v>0</v>
      </c>
      <c r="AF6" t="s">
        <v>6</v>
      </c>
    </row>
    <row r="7" spans="1:32" x14ac:dyDescent="0.25">
      <c r="A7" t="s">
        <v>36</v>
      </c>
      <c r="B7" s="1" t="e">
        <f>VLOOKUP(B6,L3:M24,2,FALSE)</f>
        <v>#N/A</v>
      </c>
      <c r="C7" s="1" t="e">
        <f>VLOOKUP(C6,L3:M24,2,FALSE )</f>
        <v>#N/A</v>
      </c>
      <c r="D7" s="1" t="e">
        <f>VLOOKUP(D6,L3:M24,2,FALSE)</f>
        <v>#N/A</v>
      </c>
      <c r="E7" s="1" t="e">
        <f>VLOOKUP(E6,L3:M24,2,FALSE)</f>
        <v>#N/A</v>
      </c>
      <c r="F7" s="1" t="e">
        <f>VLOOKUP(F6,L3:M24,2,FALSE)</f>
        <v>#N/A</v>
      </c>
      <c r="I7">
        <v>0</v>
      </c>
      <c r="L7" t="s">
        <v>7</v>
      </c>
      <c r="M7">
        <v>4</v>
      </c>
      <c r="N7">
        <f>IF(ISNUMBER(FIND("s",INDEX(TData!B16:W37,4,Tactics!B7))),I7,0)</f>
        <v>0</v>
      </c>
      <c r="O7">
        <f>IF(ISNUMBER(FIND("s",INDEX(TData!B16:W37,4,Tactics!C7))),I7,0)</f>
        <v>0</v>
      </c>
      <c r="P7">
        <f>IF(ISNUMBER(FIND("s",INDEX(TData!B16:W37,4,Tactics!D7))),I7,0)</f>
        <v>0</v>
      </c>
      <c r="Q7">
        <f>IF(ISNUMBER(FIND("s",INDEX(TData!B16:W37,4,Tactics!E7))),I7,0)</f>
        <v>0</v>
      </c>
      <c r="R7">
        <f>IF(ISNUMBER(FIND("s",INDEX(TData!B16:W37,4,Tactics!F7))),I7,0)</f>
        <v>0</v>
      </c>
      <c r="S7">
        <f>IF(ISNUMBER(FIND("c",INDEX(TData!B16:W37,4,Tactics!B4))),I5,0)</f>
        <v>0</v>
      </c>
      <c r="T7">
        <f>IF(ISNUMBER(FIND("c",INDEX(TData!B16:W37,4,Tactics!C4))),I5,0)</f>
        <v>0</v>
      </c>
      <c r="U7">
        <f>IF(ISNUMBER(FIND("c",INDEX(TData!B16:W37,4,Tactics!D4))),I5,0)</f>
        <v>0</v>
      </c>
      <c r="V7">
        <f>IF(ISNUMBER(FIND("c",INDEX(TData!B16:W37,4,Tactics!E4))),I5,0)</f>
        <v>1</v>
      </c>
      <c r="W7">
        <f>IF(ISNUMBER(FIND("c",INDEX(TData!B16:W37,4,Tactics!F4))),I5,0)</f>
        <v>0</v>
      </c>
      <c r="X7">
        <f>IF(ISNUMBER(FIND("c",INDEX(TData!B16:W37,4,Tactics!G4))),I5,0)</f>
        <v>1</v>
      </c>
      <c r="Y7">
        <f>IF(ISNUMBER(FIND("x",INDEX(TData!B16:W37,4,Tactics!B4))),I9,0)</f>
        <v>-1</v>
      </c>
      <c r="Z7">
        <f>IF(ISNUMBER(FIND("x",INDEX(TData!B16:W37,4,Tactics!C4))),I9,0)</f>
        <v>0</v>
      </c>
      <c r="AA7">
        <f>IF(ISNUMBER(FIND("x",INDEX(TData!B16:W37,4,Tactics!D4))),I9,0)</f>
        <v>0</v>
      </c>
      <c r="AB7">
        <f>IF(ISNUMBER(FIND("x",INDEX(TData!B16:W37,4,Tactics!E4))),I9,0)</f>
        <v>0</v>
      </c>
      <c r="AC7">
        <f>IF(ISNUMBER(FIND("x",INDEX(TData!B16:W37,4,Tactics!F4))),I9,0)</f>
        <v>0</v>
      </c>
      <c r="AD7">
        <f>IF(ISNUMBER(FIND("x",INDEX(TData!B16:W37,4,Tactics!G4))),I9,0)</f>
        <v>0</v>
      </c>
      <c r="AE7">
        <f t="shared" si="0"/>
        <v>1</v>
      </c>
      <c r="AF7" t="s">
        <v>7</v>
      </c>
    </row>
    <row r="8" spans="1:32" x14ac:dyDescent="0.25">
      <c r="I8" t="s">
        <v>60</v>
      </c>
      <c r="L8" t="s">
        <v>8</v>
      </c>
      <c r="M8">
        <v>5</v>
      </c>
      <c r="N8">
        <f>IF(ISNUMBER(FIND("s",INDEX(TData!B16:W37,5,Tactics!B7))),I7,0)</f>
        <v>0</v>
      </c>
      <c r="O8">
        <f>IF(ISNUMBER(FIND("s",INDEX(TData!B16:W37,5,Tactics!C7))),I7,0)</f>
        <v>0</v>
      </c>
      <c r="P8">
        <f>IF(ISNUMBER(FIND("s",INDEX(TData!B16:W37,5,Tactics!D7))),I7,0)</f>
        <v>0</v>
      </c>
      <c r="Q8">
        <f>IF(ISNUMBER(FIND("s",INDEX(TData!B16:W37,5,Tactics!E7))),I7,0)</f>
        <v>0</v>
      </c>
      <c r="R8">
        <f>IF(ISNUMBER(FIND("s",INDEX(TData!B16:W37,5,Tactics!F7))),I7,0)</f>
        <v>0</v>
      </c>
      <c r="S8">
        <f>IF(ISNUMBER(FIND("c",INDEX(TData!B16:W37,5,Tactics!B4))),I5,0)</f>
        <v>1</v>
      </c>
      <c r="T8">
        <f>IF(ISNUMBER(FIND("c",INDEX(TData!B16:W37,5,Tactics!C4))),I5,0)</f>
        <v>0</v>
      </c>
      <c r="U8">
        <f>IF(ISNUMBER(FIND("c",INDEX(TData!B16:W37,5,Tactics!D4))),I5,0)</f>
        <v>0</v>
      </c>
      <c r="V8">
        <f>IF(ISNUMBER(FIND("c",INDEX(TData!B16:W37,5,Tactics!E4))),I5,0)</f>
        <v>0</v>
      </c>
      <c r="W8">
        <f>IF(ISNUMBER(FIND("c",INDEX(TData!B16:W37,5,Tactics!F4))),I5,0)</f>
        <v>0</v>
      </c>
      <c r="X8">
        <f>IF(ISNUMBER(FIND("c",INDEX(TData!B16:W37,5,Tactics!G4))),I5,0)</f>
        <v>0</v>
      </c>
      <c r="Y8">
        <f>IF(ISNUMBER(FIND("x",INDEX(TData!B16:W37,5,Tactics!B4))),I9,0)</f>
        <v>0</v>
      </c>
      <c r="Z8">
        <f>IF(ISNUMBER(FIND("x",INDEX(TData!B16:W37,5,Tactics!C4))),I9,0)</f>
        <v>0</v>
      </c>
      <c r="AA8">
        <f>IF(ISNUMBER(FIND("x",INDEX(TData!B16:W37,5,Tactics!D4))),I9,0)</f>
        <v>0</v>
      </c>
      <c r="AB8">
        <f>IF(ISNUMBER(FIND("x",INDEX(TData!B16:W37,5,Tactics!E4))),I9,0)</f>
        <v>0</v>
      </c>
      <c r="AC8">
        <f>IF(ISNUMBER(FIND("x",INDEX(TData!B16:W37,5,Tactics!F4))),I9,0)</f>
        <v>0</v>
      </c>
      <c r="AD8">
        <f>IF(ISNUMBER(FIND("x",INDEX(TData!B16:W37,5,Tactics!G4))),I9,0)</f>
        <v>0</v>
      </c>
      <c r="AE8">
        <f t="shared" si="0"/>
        <v>1</v>
      </c>
      <c r="AF8" t="s">
        <v>8</v>
      </c>
    </row>
    <row r="9" spans="1:32" x14ac:dyDescent="0.25">
      <c r="B9" t="s">
        <v>50</v>
      </c>
      <c r="C9" t="s">
        <v>51</v>
      </c>
      <c r="I9">
        <v>-1</v>
      </c>
      <c r="L9" t="s">
        <v>9</v>
      </c>
      <c r="M9">
        <v>6</v>
      </c>
      <c r="N9">
        <f>IF(ISNUMBER(FIND("s",INDEX(TData!B16:W37,6,Tactics!B7))),I7,0)</f>
        <v>0</v>
      </c>
      <c r="O9">
        <f>IF(ISNUMBER(FIND("s",INDEX(TData!B16:W37,6,Tactics!C7))),I7,0)</f>
        <v>0</v>
      </c>
      <c r="P9">
        <f>IF(ISNUMBER(FIND("s",INDEX(TData!B16:W37,6,Tactics!D7))),I7,0)</f>
        <v>0</v>
      </c>
      <c r="Q9">
        <f>IF(ISNUMBER(FIND("s",INDEX(TData!B16:W37,6,Tactics!E7))),I7,0)</f>
        <v>0</v>
      </c>
      <c r="R9">
        <f>IF(ISNUMBER(FIND("s",INDEX(TData!B16:W37,6,Tactics!F7))),I7,0)</f>
        <v>0</v>
      </c>
      <c r="S9">
        <f>IF(ISNUMBER(FIND("c",INDEX(TData!B16:W37,6,Tactics!B4))),I5,0)</f>
        <v>0</v>
      </c>
      <c r="T9">
        <f>IF(ISNUMBER(FIND("c",INDEX(TData!B16:W37,6,Tactics!C4))),I5,0)</f>
        <v>0</v>
      </c>
      <c r="U9">
        <f>IF(ISNUMBER(FIND("c",INDEX(TData!B16:W37,6,Tactics!D4))),I5,0)</f>
        <v>0</v>
      </c>
      <c r="V9">
        <f>IF(ISNUMBER(FIND("c",INDEX(TData!B16:W37,6,Tactics!E4))),I5,0)</f>
        <v>1</v>
      </c>
      <c r="W9">
        <f>IF(ISNUMBER(FIND("c",INDEX(TData!B16:W37,6,Tactics!F4))),I5,0)</f>
        <v>0</v>
      </c>
      <c r="X9">
        <f>IF(ISNUMBER(FIND("c",INDEX(TData!B16:W37,6,Tactics!G4))),I5,0)</f>
        <v>0</v>
      </c>
      <c r="Y9">
        <f>IF(ISNUMBER(FIND("x",INDEX(TData!B16:W37,6,Tactics!B4))),I9,0)</f>
        <v>0</v>
      </c>
      <c r="Z9">
        <f>IF(ISNUMBER(FIND("x",INDEX(TData!B16:W37,6,Tactics!C4))),I9,0)</f>
        <v>0</v>
      </c>
      <c r="AA9">
        <f>IF(ISNUMBER(FIND("x",INDEX(TData!B16:W37,6,Tactics!D4))),I9,0)</f>
        <v>0</v>
      </c>
      <c r="AB9">
        <f>IF(ISNUMBER(FIND("x",INDEX(TData!B16:W37,6,Tactics!E4))),I9,0)</f>
        <v>0</v>
      </c>
      <c r="AC9">
        <f>IF(ISNUMBER(FIND("x",INDEX(TData!B16:W37,6,Tactics!F4))),I9,0)</f>
        <v>-1</v>
      </c>
      <c r="AD9">
        <f>IF(ISNUMBER(FIND("x",INDEX(TData!B16:W37,6,Tactics!G4))),I9,0)</f>
        <v>-1</v>
      </c>
      <c r="AE9">
        <f t="shared" si="0"/>
        <v>-1</v>
      </c>
      <c r="AF9" t="s">
        <v>9</v>
      </c>
    </row>
    <row r="10" spans="1:32" x14ac:dyDescent="0.25">
      <c r="A10" t="s">
        <v>33</v>
      </c>
      <c r="B10" t="s">
        <v>16</v>
      </c>
      <c r="C10">
        <v>2</v>
      </c>
      <c r="I10" t="s">
        <v>61</v>
      </c>
      <c r="L10" t="s">
        <v>10</v>
      </c>
      <c r="M10">
        <v>7</v>
      </c>
      <c r="N10">
        <f>IF(ISNUMBER(FIND("s",INDEX(TData!B16:W37,7,Tactics!B7))),I7,0)</f>
        <v>0</v>
      </c>
      <c r="O10">
        <f>IF(ISNUMBER(FIND("s",INDEX(TData!B16:W37,7,Tactics!C7))),I7,0)</f>
        <v>0</v>
      </c>
      <c r="P10">
        <f>IF(ISNUMBER(FIND("s",INDEX(TData!B16:W37,7,Tactics!D7))),I7,0)</f>
        <v>0</v>
      </c>
      <c r="Q10">
        <f>IF(ISNUMBER(FIND("s",INDEX(TData!B16:W37,7,Tactics!E7))),I7,0)</f>
        <v>0</v>
      </c>
      <c r="R10">
        <f>IF(ISNUMBER(FIND("s",INDEX(TData!B16:W37,7,Tactics!F7))),I7,0)</f>
        <v>0</v>
      </c>
      <c r="S10">
        <f>IF(ISNUMBER(FIND("c",INDEX(TData!B16:W37,7,Tactics!B4))),I5,0)</f>
        <v>0</v>
      </c>
      <c r="T10">
        <f>IF(ISNUMBER(FIND("c",INDEX(TData!B16:W37,7,Tactics!C4))),I5,0)</f>
        <v>0</v>
      </c>
      <c r="U10">
        <f>IF(ISNUMBER(FIND("c",INDEX(TData!B16:W37,7,Tactics!D4))),I5,0)</f>
        <v>0</v>
      </c>
      <c r="V10">
        <f>IF(ISNUMBER(FIND("c",INDEX(TData!B16:W37,7,Tactics!E4))),I5,0)</f>
        <v>0</v>
      </c>
      <c r="W10">
        <f>IF(ISNUMBER(FIND("c",INDEX(TData!B16:W37,7,Tactics!F4))),I5,0)</f>
        <v>0</v>
      </c>
      <c r="X10">
        <f>IF(ISNUMBER(FIND("c",INDEX(TData!B16:W37,7,Tactics!G4))),I5,0)</f>
        <v>0</v>
      </c>
      <c r="Y10">
        <f>IF(ISNUMBER(FIND("x",INDEX(TData!B16:W37,7,Tactics!B4))),I9,0)</f>
        <v>-1</v>
      </c>
      <c r="Z10">
        <f>IF(ISNUMBER(FIND("x",INDEX(TData!B16:W37,7,Tactics!C4))),I9,0)</f>
        <v>0</v>
      </c>
      <c r="AA10">
        <f>IF(ISNUMBER(FIND("x",INDEX(TData!B16:W37,7,Tactics!D4))),I9,0)</f>
        <v>0</v>
      </c>
      <c r="AB10">
        <f>IF(ISNUMBER(FIND("x",INDEX(TData!B16:W37,7,Tactics!E4))),I9,0)</f>
        <v>0</v>
      </c>
      <c r="AC10">
        <f>IF(ISNUMBER(FIND("x",INDEX(TData!B16:W37,7,Tactics!F4))),I9,0)</f>
        <v>0</v>
      </c>
      <c r="AD10">
        <f>IF(ISNUMBER(FIND("x",INDEX(TData!B16:W37,7,Tactics!G4))),I9,0)</f>
        <v>0</v>
      </c>
      <c r="AE10">
        <f t="shared" si="0"/>
        <v>-1</v>
      </c>
      <c r="AF10" t="s">
        <v>10</v>
      </c>
    </row>
    <row r="11" spans="1:32" x14ac:dyDescent="0.25">
      <c r="B11" t="s">
        <v>62</v>
      </c>
      <c r="C11">
        <v>1</v>
      </c>
      <c r="L11" t="s">
        <v>11</v>
      </c>
      <c r="M11">
        <v>8</v>
      </c>
      <c r="N11">
        <f>IF(ISNUMBER(FIND("s",INDEX(TData!B16:W37,8,Tactics!B7))),I7,0)</f>
        <v>0</v>
      </c>
      <c r="O11">
        <f>IF(ISNUMBER(FIND("s",INDEX(TData!B16:W37,8,Tactics!C7))),I7,0)</f>
        <v>0</v>
      </c>
      <c r="P11">
        <f>IF(ISNUMBER(FIND("s",INDEX(TData!B16:W37,8,Tactics!D7))),I7,0)</f>
        <v>0</v>
      </c>
      <c r="Q11">
        <f>IF(ISNUMBER(FIND("s",INDEX(TData!B16:W37,8,Tactics!E7))),I7,0)</f>
        <v>0</v>
      </c>
      <c r="R11">
        <f>IF(ISNUMBER(FIND("s",INDEX(TData!B16:W37,8,Tactics!F7))),I7,0)</f>
        <v>0</v>
      </c>
      <c r="S11">
        <f>IF(ISNUMBER(FIND("c",INDEX(TData!B16:W37,8,Tactics!B4))),I5,0)</f>
        <v>0</v>
      </c>
      <c r="T11">
        <f>IF(ISNUMBER(FIND("c",INDEX(TData!B16:W37,8,Tactics!C4))),I5,0)</f>
        <v>0</v>
      </c>
      <c r="U11">
        <f>IF(ISNUMBER(FIND("c",INDEX(TData!B16:W37,8,Tactics!D4))),I5,0)</f>
        <v>0</v>
      </c>
      <c r="V11">
        <f>IF(ISNUMBER(FIND("c",INDEX(TData!B16:W37,8,Tactics!E4))),I5,0)</f>
        <v>1</v>
      </c>
      <c r="W11">
        <f>IF(ISNUMBER(FIND("c",INDEX(TData!B16:W37,8,Tactics!F4))),I5,0)</f>
        <v>0</v>
      </c>
      <c r="X11">
        <f>IF(ISNUMBER(FIND("c",INDEX(TData!B16:W37,8,Tactics!G4))),I5,0)</f>
        <v>0</v>
      </c>
      <c r="Y11">
        <f>IF(ISNUMBER(FIND("x",INDEX(TData!B16:W37,8,Tactics!B4))),I9,0)</f>
        <v>0</v>
      </c>
      <c r="Z11">
        <f>IF(ISNUMBER(FIND("x",INDEX(TData!B16:W37,8,Tactics!C4))),I9,0)</f>
        <v>0</v>
      </c>
      <c r="AA11">
        <f>IF(ISNUMBER(FIND("x",INDEX(TData!B16:W37,8,Tactics!D4))),I9,0)</f>
        <v>0</v>
      </c>
      <c r="AB11">
        <f>IF(ISNUMBER(FIND("x",INDEX(TData!B16:W37,8,Tactics!E4))),I9,0)</f>
        <v>0</v>
      </c>
      <c r="AC11">
        <f>IF(ISNUMBER(FIND("x",INDEX(TData!B16:W37,8,Tactics!F4))),I9,0)</f>
        <v>0</v>
      </c>
      <c r="AD11">
        <f>IF(ISNUMBER(FIND("x",INDEX(TData!B16:W37,8,Tactics!G4))),I9,0)</f>
        <v>0</v>
      </c>
      <c r="AE11">
        <f t="shared" si="0"/>
        <v>1</v>
      </c>
      <c r="AF11" t="s">
        <v>11</v>
      </c>
    </row>
    <row r="12" spans="1:32" x14ac:dyDescent="0.25">
      <c r="B12" t="s">
        <v>7</v>
      </c>
      <c r="C12">
        <v>1</v>
      </c>
      <c r="L12" t="s">
        <v>12</v>
      </c>
      <c r="M12">
        <v>9</v>
      </c>
      <c r="N12">
        <f>IF(ISNUMBER(FIND("s",INDEX(TData!B16:W37,9,Tactics!B7))),I7,0)</f>
        <v>0</v>
      </c>
      <c r="O12">
        <f>IF(ISNUMBER(FIND("s",INDEX(TData!B16:W37,9,Tactics!C7))),I7,0)</f>
        <v>0</v>
      </c>
      <c r="P12">
        <f>IF(ISNUMBER(FIND("s",INDEX(TData!B16:W37,9,Tactics!D7))),I7,0)</f>
        <v>0</v>
      </c>
      <c r="Q12">
        <f>IF(ISNUMBER(FIND("s",INDEX(TData!B16:W37,9,Tactics!E7))),I7,0)</f>
        <v>0</v>
      </c>
      <c r="R12">
        <f>IF(ISNUMBER(FIND("s",INDEX(TData!B16:W37,9,Tactics!F7))),I7,0)</f>
        <v>0</v>
      </c>
      <c r="S12">
        <f>IF(ISNUMBER(FIND("c",INDEX(TData!B16:W37,9,Tactics!B4))),I5,0)</f>
        <v>0</v>
      </c>
      <c r="T12">
        <f>IF(ISNUMBER(FIND("c",INDEX(TData!B16:W37,9,Tactics!C4))),I5,0)</f>
        <v>0</v>
      </c>
      <c r="U12">
        <f>IF(ISNUMBER(FIND("c",INDEX(TData!B16:W37,9,Tactics!D4))),I5,0)</f>
        <v>0</v>
      </c>
      <c r="V12">
        <f>IF(ISNUMBER(FIND("c",INDEX(TData!B16:W37,9,Tactics!E4))),I5,0)</f>
        <v>0</v>
      </c>
      <c r="W12">
        <f>IF(ISNUMBER(FIND("c",INDEX(TData!B16:W37,9,Tactics!F4))),I5,0)</f>
        <v>1</v>
      </c>
      <c r="X12">
        <f>IF(ISNUMBER(FIND("c",INDEX(TData!B16:W37,9,Tactics!G4))),I5,0)</f>
        <v>0</v>
      </c>
      <c r="Y12">
        <f>IF(ISNUMBER(FIND("x",INDEX(TData!B16:W37,9,Tactics!B4))),I9,0)</f>
        <v>-1</v>
      </c>
      <c r="Z12">
        <f>IF(ISNUMBER(FIND("x",INDEX(TData!B16:W37,9,Tactics!C4))),I9,0)</f>
        <v>0</v>
      </c>
      <c r="AA12">
        <f>IF(ISNUMBER(FIND("x",INDEX(TData!B16:W37,9,Tactics!D4))),I9,0)</f>
        <v>0</v>
      </c>
      <c r="AB12">
        <f>IF(ISNUMBER(FIND("x",INDEX(TData!B16:W37,9,Tactics!E4))),I9,0)</f>
        <v>0</v>
      </c>
      <c r="AC12">
        <f>IF(ISNUMBER(FIND("x",INDEX(TData!B16:W37,9,Tactics!F4))),I9,0)</f>
        <v>0</v>
      </c>
      <c r="AD12">
        <f>IF(ISNUMBER(FIND("x",INDEX(TData!B16:W37,9,Tactics!G4))),I9,0)</f>
        <v>0</v>
      </c>
      <c r="AE12">
        <f t="shared" si="0"/>
        <v>0</v>
      </c>
      <c r="AF12" t="s">
        <v>12</v>
      </c>
    </row>
    <row r="13" spans="1:32" x14ac:dyDescent="0.25">
      <c r="B13" t="s">
        <v>8</v>
      </c>
      <c r="C13">
        <v>1</v>
      </c>
      <c r="L13" t="s">
        <v>13</v>
      </c>
      <c r="M13">
        <v>10</v>
      </c>
      <c r="N13">
        <f>IF(ISNUMBER(FIND("s",INDEX(TData!B16:W37,10,Tactics!B7))),I7,0)</f>
        <v>0</v>
      </c>
      <c r="O13">
        <f>IF(ISNUMBER(FIND("s",INDEX(TData!B16:W37,10,Tactics!C7))),I7,0)</f>
        <v>0</v>
      </c>
      <c r="P13">
        <f>IF(ISNUMBER(FIND("s",INDEX(TData!B16:W37,10,Tactics!D7))),I7,0)</f>
        <v>0</v>
      </c>
      <c r="Q13">
        <f>IF(ISNUMBER(FIND("s",INDEX(TData!B16:W37,10,Tactics!E7))),I7,0)</f>
        <v>0</v>
      </c>
      <c r="R13">
        <f>IF(ISNUMBER(FIND("s",INDEX(TData!B16:W37,10,Tactics!F7))),I7,0)</f>
        <v>0</v>
      </c>
      <c r="S13">
        <f>IF(ISNUMBER(FIND("c",INDEX(TData!B16:W37,10,Tactics!B4))),I5,0)</f>
        <v>0</v>
      </c>
      <c r="T13">
        <f>IF(ISNUMBER(FIND("c",INDEX(TData!B16:W37,10,Tactics!C4))),I5,0)</f>
        <v>0</v>
      </c>
      <c r="U13">
        <f>IF(ISNUMBER(FIND("c",INDEX(TData!B16:W37,10,Tactics!D4))),I5,0)</f>
        <v>0</v>
      </c>
      <c r="V13">
        <f>IF(ISNUMBER(FIND("c",INDEX(TData!B16:W37,10,Tactics!E4))),I5,0)</f>
        <v>0</v>
      </c>
      <c r="W13">
        <f>IF(ISNUMBER(FIND("c",INDEX(TData!B16:W37,10,Tactics!F4))),I5,0)</f>
        <v>0</v>
      </c>
      <c r="X13">
        <f>IF(ISNUMBER(FIND("c",INDEX(TData!B16:W37,10,Tactics!G4))),I5,0)</f>
        <v>0</v>
      </c>
      <c r="Y13">
        <f>IF(ISNUMBER(FIND("x",INDEX(TData!B16:W37,10,Tactics!B4))),I9,0)</f>
        <v>-1</v>
      </c>
      <c r="Z13">
        <f>IF(ISNUMBER(FIND("x",INDEX(TData!B16:W37,10,Tactics!C4))),I9,0)</f>
        <v>0</v>
      </c>
      <c r="AA13">
        <f>IF(ISNUMBER(FIND("x",INDEX(TData!B16:W37,10,Tactics!D4))),I9,0)</f>
        <v>0</v>
      </c>
      <c r="AB13">
        <f>IF(ISNUMBER(FIND("x",INDEX(TData!B16:W37,10,Tactics!E4))),I9,0)</f>
        <v>0</v>
      </c>
      <c r="AC13">
        <f>IF(ISNUMBER(FIND("x",INDEX(TData!B16:W37,10,Tactics!F4))),I9,0)</f>
        <v>0</v>
      </c>
      <c r="AD13">
        <f>IF(ISNUMBER(FIND("x",INDEX(TData!B16:W37,10,Tactics!G4))),I9,0)</f>
        <v>0</v>
      </c>
      <c r="AE13">
        <f t="shared" si="0"/>
        <v>-1</v>
      </c>
      <c r="AF13" t="s">
        <v>13</v>
      </c>
    </row>
    <row r="14" spans="1:32" x14ac:dyDescent="0.25">
      <c r="B14" t="s">
        <v>9</v>
      </c>
      <c r="C14">
        <v>1</v>
      </c>
      <c r="L14" t="s">
        <v>23</v>
      </c>
      <c r="M14">
        <v>11</v>
      </c>
      <c r="N14">
        <f>IF(ISNUMBER(FIND("s",INDEX(TData!B16:W37,11,Tactics!B7))),I7,0)</f>
        <v>0</v>
      </c>
      <c r="O14">
        <f>IF(ISNUMBER(FIND("s",INDEX(TData!B16:W37,11,Tactics!C7))),I7,0)</f>
        <v>0</v>
      </c>
      <c r="P14">
        <f>IF(ISNUMBER(FIND("s",INDEX(TData!B16:W37,11,Tactics!D7))),I7,0)</f>
        <v>0</v>
      </c>
      <c r="Q14">
        <f>IF(ISNUMBER(FIND("s",INDEX(TData!B16:W37,11,Tactics!E7))),I7,0)</f>
        <v>0</v>
      </c>
      <c r="R14">
        <f>IF(ISNUMBER(FIND("s",INDEX(TData!B16:W37,11,Tactics!F7))),I7,0)</f>
        <v>0</v>
      </c>
      <c r="S14">
        <f>IF(ISNUMBER(FIND("c",INDEX(TData!B16:W37,11,Tactics!B4))),I5,0)</f>
        <v>0</v>
      </c>
      <c r="T14">
        <f>IF(ISNUMBER(FIND("c",INDEX(TData!B16:W37,11,Tactics!C4))),I5,0)</f>
        <v>0</v>
      </c>
      <c r="U14">
        <f>IF(ISNUMBER(FIND("c",INDEX(TData!B16:W37,11,Tactics!D4))),I5,0)</f>
        <v>0</v>
      </c>
      <c r="V14">
        <f>IF(ISNUMBER(FIND("c",INDEX(TData!B16:W37,11,Tactics!E4))),I5,0)</f>
        <v>0</v>
      </c>
      <c r="W14">
        <f>IF(ISNUMBER(FIND("c",INDEX(TData!B16:W37,11,Tactics!F4))),I5,0)</f>
        <v>0</v>
      </c>
      <c r="X14">
        <f>IF(ISNUMBER(FIND("c",INDEX(TData!B16:W37,11,Tactics!G4))),I5,0)</f>
        <v>0</v>
      </c>
      <c r="Y14">
        <f>IF(ISNUMBER(FIND("x",INDEX(TData!B16:W37,11,Tactics!B4))),I9,0)</f>
        <v>0</v>
      </c>
      <c r="Z14">
        <f>IF(ISNUMBER(FIND("x",INDEX(TData!B16:W37,11,Tactics!C4))),I9,0)</f>
        <v>0</v>
      </c>
      <c r="AA14">
        <f>IF(ISNUMBER(FIND("x",INDEX(TData!B16:W37,11,Tactics!D4))),I9,0)</f>
        <v>0</v>
      </c>
      <c r="AB14">
        <f>IF(ISNUMBER(FIND("x",INDEX(TData!B16:W37,11,Tactics!E4))),I9,0)</f>
        <v>0</v>
      </c>
      <c r="AC14">
        <f>IF(ISNUMBER(FIND("x",INDEX(TData!B16:W37,11,Tactics!F4))),I9,0)</f>
        <v>0</v>
      </c>
      <c r="AD14">
        <f>IF(ISNUMBER(FIND("x",INDEX(TData!B16:W37,11,Tactics!G4))),I9,0)</f>
        <v>-1</v>
      </c>
      <c r="AE14">
        <f t="shared" si="0"/>
        <v>-1</v>
      </c>
      <c r="AF14" t="s">
        <v>23</v>
      </c>
    </row>
    <row r="15" spans="1:32" x14ac:dyDescent="0.25">
      <c r="B15" t="s">
        <v>11</v>
      </c>
      <c r="C15">
        <v>1</v>
      </c>
      <c r="L15" t="s">
        <v>14</v>
      </c>
      <c r="M15">
        <v>12</v>
      </c>
      <c r="N15">
        <f>IF(ISNUMBER(FIND("s",INDEX(TData!B16:W37,12,Tactics!B7))),I7,0)</f>
        <v>0</v>
      </c>
      <c r="O15">
        <f>IF(ISNUMBER(FIND("s",INDEX(TData!B16:W37,12,Tactics!C7))),I7,0)</f>
        <v>0</v>
      </c>
      <c r="P15">
        <f>IF(ISNUMBER(FIND("s",INDEX(TData!B16:W37,12,Tactics!D7))),I7,0)</f>
        <v>0</v>
      </c>
      <c r="Q15">
        <f>IF(ISNUMBER(FIND("s",INDEX(TData!B16:W37,12,Tactics!E7))),I7,0)</f>
        <v>0</v>
      </c>
      <c r="R15">
        <f>IF(ISNUMBER(FIND("s",INDEX(TData!B16:W37,12,Tactics!F7))),I7,0)</f>
        <v>0</v>
      </c>
      <c r="S15">
        <f>IF(ISNUMBER(FIND("c",INDEX(TData!B16:W37,12,Tactics!B4))),I5,0)</f>
        <v>1</v>
      </c>
      <c r="T15">
        <f>IF(ISNUMBER(FIND("c",INDEX(TData!B16:W37,12,Tactics!C4))),I5,0)</f>
        <v>0</v>
      </c>
      <c r="U15">
        <f>IF(ISNUMBER(FIND("c",INDEX(TData!B16:W37,12,Tactics!D4))),I5,0)</f>
        <v>0</v>
      </c>
      <c r="V15">
        <f>IF(ISNUMBER(FIND("c",INDEX(TData!B16:W37,12,Tactics!E4))),I5,0)</f>
        <v>0</v>
      </c>
      <c r="W15">
        <f>IF(ISNUMBER(FIND("c",INDEX(TData!B16:W37,12,Tactics!F4))),I5,0)</f>
        <v>0</v>
      </c>
      <c r="X15">
        <f>IF(ISNUMBER(FIND("c",INDEX(TData!B16:W37,12,Tactics!G4))),I5,0)</f>
        <v>0</v>
      </c>
      <c r="Y15">
        <f>IF(ISNUMBER(FIND("x",INDEX(TData!B16:W37,12,Tactics!B4))),I9,0)</f>
        <v>0</v>
      </c>
      <c r="Z15">
        <f>IF(ISNUMBER(FIND("x",INDEX(TData!B16:W37,12,Tactics!C4))),I9,0)</f>
        <v>0</v>
      </c>
      <c r="AA15">
        <f>IF(ISNUMBER(FIND("x",INDEX(TData!B16:W37,12,Tactics!D4))),I9,0)</f>
        <v>0</v>
      </c>
      <c r="AB15">
        <f>IF(ISNUMBER(FIND("x",INDEX(TData!B16:W37,12,Tactics!E4))),I9,0)</f>
        <v>0</v>
      </c>
      <c r="AC15">
        <f>IF(ISNUMBER(FIND("x",INDEX(TData!B16:W37,12,Tactics!F4))),I9,0)</f>
        <v>0</v>
      </c>
      <c r="AD15">
        <f>IF(ISNUMBER(FIND("x",INDEX(TData!B16:W37,12,Tactics!G4))),I9,0)</f>
        <v>0</v>
      </c>
      <c r="AE15">
        <f t="shared" si="0"/>
        <v>1</v>
      </c>
      <c r="AF15" t="s">
        <v>14</v>
      </c>
    </row>
    <row r="16" spans="1:32" x14ac:dyDescent="0.25">
      <c r="B16" t="s">
        <v>14</v>
      </c>
      <c r="C16">
        <v>1</v>
      </c>
      <c r="L16" t="s">
        <v>15</v>
      </c>
      <c r="M16">
        <v>13</v>
      </c>
      <c r="N16">
        <f>IF(ISNUMBER(FIND("s",INDEX(TData!B16:W37,13,Tactics!B7))),I7,0)</f>
        <v>0</v>
      </c>
      <c r="O16">
        <f>IF(ISNUMBER(FIND("s",INDEX(TData!B16:W37,13,Tactics!C7))),I7,0)</f>
        <v>0</v>
      </c>
      <c r="P16">
        <f>IF(ISNUMBER(FIND("s",INDEX(TData!B16:W37,13,Tactics!D7))),I7,0)</f>
        <v>0</v>
      </c>
      <c r="Q16">
        <f>IF(ISNUMBER(FIND("s",INDEX(TData!B16:W37,13,Tactics!E7))),I7,0)</f>
        <v>0</v>
      </c>
      <c r="R16">
        <f>IF(ISNUMBER(FIND("s",INDEX(TData!B16:W37,13,Tactics!F7))),I7,0)</f>
        <v>0</v>
      </c>
      <c r="S16">
        <f>IF(ISNUMBER(FIND("c",INDEX(TData!B16:W37,13,Tactics!B4))),I5,0)</f>
        <v>1</v>
      </c>
      <c r="T16">
        <f>IF(ISNUMBER(FIND("c",INDEX(TData!B16:W37,13,Tactics!C4))),I5,0)</f>
        <v>0</v>
      </c>
      <c r="U16">
        <f>IF(ISNUMBER(FIND("c",INDEX(TData!B16:W37,13,Tactics!D4))),I5,0)</f>
        <v>0</v>
      </c>
      <c r="V16">
        <f>IF(ISNUMBER(FIND("c",INDEX(TData!B16:W37,13,Tactics!E4))),I5,0)</f>
        <v>0</v>
      </c>
      <c r="W16">
        <f>IF(ISNUMBER(FIND("c",INDEX(TData!B16:W37,13,Tactics!F4))),I5,0)</f>
        <v>0</v>
      </c>
      <c r="X16">
        <f>IF(ISNUMBER(FIND("c",INDEX(TData!B16:W37,13,Tactics!G4))),I5,0)</f>
        <v>0</v>
      </c>
      <c r="Y16">
        <f>IF(ISNUMBER(FIND("x",INDEX(TData!B16:W37,13,Tactics!B4))),I9,0)</f>
        <v>0</v>
      </c>
      <c r="Z16">
        <f>IF(ISNUMBER(FIND("x",INDEX(TData!B16:W37,13,Tactics!C4))),I9,0)</f>
        <v>0</v>
      </c>
      <c r="AA16">
        <f>IF(ISNUMBER(FIND("x",INDEX(TData!B16:W37,13,Tactics!D4))),I9,0)</f>
        <v>-1</v>
      </c>
      <c r="AB16">
        <f>IF(ISNUMBER(FIND("x",INDEX(TData!B16:W37,13,Tactics!E4))),I9,0)</f>
        <v>0</v>
      </c>
      <c r="AC16">
        <f>IF(ISNUMBER(FIND("x",INDEX(TData!B16:W37,13,Tactics!F4))),I9,0)</f>
        <v>-1</v>
      </c>
      <c r="AD16">
        <f>IF(ISNUMBER(FIND("x",INDEX(TData!B16:W37,13,Tactics!G4))),I9,0)</f>
        <v>-1</v>
      </c>
      <c r="AE16">
        <f t="shared" si="0"/>
        <v>-2</v>
      </c>
      <c r="AF16" t="s">
        <v>15</v>
      </c>
    </row>
    <row r="17" spans="2:32" x14ac:dyDescent="0.25">
      <c r="B17" t="s">
        <v>6</v>
      </c>
      <c r="C17">
        <v>0</v>
      </c>
      <c r="L17" t="s">
        <v>0</v>
      </c>
      <c r="M17">
        <v>14</v>
      </c>
      <c r="N17">
        <f>IF(ISNUMBER(FIND("s",INDEX(TData!B16:W37,14,Tactics!B7))),I7,0)</f>
        <v>0</v>
      </c>
      <c r="O17">
        <f>IF(ISNUMBER(FIND("s",INDEX(TData!B16:W37,14,Tactics!C7))),I7,0)</f>
        <v>0</v>
      </c>
      <c r="P17">
        <f>IF(ISNUMBER(FIND("s",INDEX(TData!B16:W37,14,Tactics!D7))),I7,0)</f>
        <v>0</v>
      </c>
      <c r="Q17">
        <f>IF(ISNUMBER(FIND("s",INDEX(TData!B16:W37,14,Tactics!E7))),I7,0)</f>
        <v>0</v>
      </c>
      <c r="R17">
        <f>IF(ISNUMBER(FIND("s",INDEX(TData!B16:W37,14,Tactics!F7))),I7,0)</f>
        <v>0</v>
      </c>
      <c r="S17">
        <f>IF(ISNUMBER(FIND("c",INDEX(TData!B16:W37,14,Tactics!B4))),I5,0)</f>
        <v>0</v>
      </c>
      <c r="T17">
        <f>IF(ISNUMBER(FIND("c",INDEX(TData!B16:W37,14,Tactics!C4))),I5,0)</f>
        <v>0</v>
      </c>
      <c r="U17">
        <f>IF(ISNUMBER(FIND("c",INDEX(TData!B16:W37,14,Tactics!D4))),I5,0)</f>
        <v>0</v>
      </c>
      <c r="V17">
        <f>IF(ISNUMBER(FIND("c",INDEX(TData!B16:W37,14,Tactics!E4))),I5,0)</f>
        <v>0</v>
      </c>
      <c r="W17">
        <f>IF(ISNUMBER(FIND("c",INDEX(TData!B16:W37,14,Tactics!F4))),I5,0)</f>
        <v>0</v>
      </c>
      <c r="X17">
        <f>IF(ISNUMBER(FIND("c",INDEX(TData!B16:W37,14,Tactics!G4))),I5,0)</f>
        <v>1</v>
      </c>
      <c r="Y17">
        <f>IF(ISNUMBER(FIND("x",INDEX(TData!B16:W37,14,Tactics!B4))),I9,0)</f>
        <v>-1</v>
      </c>
      <c r="Z17">
        <f>IF(ISNUMBER(FIND("x",INDEX(TData!B16:W37,14,Tactics!C4))),I9,0)</f>
        <v>0</v>
      </c>
      <c r="AA17">
        <f>IF(ISNUMBER(FIND("x",INDEX(TData!B16:W37,14,Tactics!D4))),I9,0)</f>
        <v>0</v>
      </c>
      <c r="AB17">
        <f>IF(ISNUMBER(FIND("x",INDEX(TData!B16:W37,14,Tactics!E4))),I9,0)</f>
        <v>0</v>
      </c>
      <c r="AC17">
        <f>IF(ISNUMBER(FIND("x",INDEX(TData!B16:W37,14,Tactics!F4))),I9,0)</f>
        <v>0</v>
      </c>
      <c r="AD17">
        <f>IF(ISNUMBER(FIND("x",INDEX(TData!B16:W37,14,Tactics!G4))),I9,0)</f>
        <v>0</v>
      </c>
      <c r="AE17">
        <f t="shared" si="0"/>
        <v>0</v>
      </c>
      <c r="AF17" t="s">
        <v>0</v>
      </c>
    </row>
    <row r="18" spans="2:32" x14ac:dyDescent="0.25">
      <c r="B18" t="s">
        <v>12</v>
      </c>
      <c r="C18">
        <v>0</v>
      </c>
      <c r="L18" t="s">
        <v>16</v>
      </c>
      <c r="M18">
        <v>15</v>
      </c>
      <c r="N18">
        <f>IF(ISNUMBER(FIND("s",INDEX(TData!B16:W37,15,Tactics!B7))),I7,0)</f>
        <v>0</v>
      </c>
      <c r="O18">
        <f>IF(ISNUMBER(FIND("s",INDEX(TData!B16:W37,15,Tactics!C7))),I7,0)</f>
        <v>0</v>
      </c>
      <c r="P18">
        <f>IF(ISNUMBER(FIND("s",INDEX(TData!B16:W37,15,Tactics!D7))),I7,0)</f>
        <v>0</v>
      </c>
      <c r="Q18">
        <f>IF(ISNUMBER(FIND("s",INDEX(TData!B16:W37,15,Tactics!E7))),I7,0)</f>
        <v>0</v>
      </c>
      <c r="R18">
        <f>IF(ISNUMBER(FIND("s",INDEX(TData!B16:W37,15,Tactics!F7))),I7,0)</f>
        <v>0</v>
      </c>
      <c r="S18">
        <f>IF(ISNUMBER(FIND("c",INDEX(TData!B16:W37,15,Tactics!B4))),I5,0)</f>
        <v>1</v>
      </c>
      <c r="T18">
        <f>IF(ISNUMBER(FIND("c",INDEX(TData!B16:W37,15,Tactics!C4))),I5,0)</f>
        <v>0</v>
      </c>
      <c r="U18">
        <f>IF(ISNUMBER(FIND("c",INDEX(TData!B16:W37,15,Tactics!D4))),I5,0)</f>
        <v>0</v>
      </c>
      <c r="V18">
        <f>IF(ISNUMBER(FIND("c",INDEX(TData!B16:W37,15,Tactics!E4))),I5,0)</f>
        <v>1</v>
      </c>
      <c r="W18">
        <f>IF(ISNUMBER(FIND("c",INDEX(TData!B16:W37,15,Tactics!F4))),I5,0)</f>
        <v>0</v>
      </c>
      <c r="X18">
        <f>IF(ISNUMBER(FIND("c",INDEX(TData!B16:W37,15,Tactics!G4))),I5,0)</f>
        <v>0</v>
      </c>
      <c r="Y18">
        <f>IF(ISNUMBER(FIND("x",INDEX(TData!B16:W37,15,Tactics!B4))),I9,0)</f>
        <v>0</v>
      </c>
      <c r="Z18">
        <f>IF(ISNUMBER(FIND("x",INDEX(TData!B16:W37,15,Tactics!C4))),I9,0)</f>
        <v>0</v>
      </c>
      <c r="AA18">
        <f>IF(ISNUMBER(FIND("x",INDEX(TData!B16:W37,15,Tactics!D4))),I9,0)</f>
        <v>0</v>
      </c>
      <c r="AB18">
        <f>IF(ISNUMBER(FIND("x",INDEX(TData!B16:W37,15,Tactics!E4))),I9,0)</f>
        <v>0</v>
      </c>
      <c r="AC18">
        <f>IF(ISNUMBER(FIND("x",INDEX(TData!B16:W37,15,Tactics!F4))),I9,0)</f>
        <v>0</v>
      </c>
      <c r="AD18">
        <f>IF(ISNUMBER(FIND("x",INDEX(TData!B16:W37,15,Tactics!G4))),I9,0)</f>
        <v>0</v>
      </c>
      <c r="AE18">
        <f t="shared" si="0"/>
        <v>2</v>
      </c>
      <c r="AF18" t="s">
        <v>16</v>
      </c>
    </row>
    <row r="19" spans="2:32" x14ac:dyDescent="0.25">
      <c r="B19" t="s">
        <v>17</v>
      </c>
      <c r="C19">
        <v>0</v>
      </c>
      <c r="L19" t="s">
        <v>17</v>
      </c>
      <c r="M19">
        <v>16</v>
      </c>
      <c r="N19">
        <f>IF(ISNUMBER(FIND("s",INDEX(TData!B16:W37,16,Tactics!B7))),I7,0)</f>
        <v>0</v>
      </c>
      <c r="O19">
        <f>IF(ISNUMBER(FIND("s",INDEX(TData!B16:W37,16,Tactics!C7))),I7,0)</f>
        <v>0</v>
      </c>
      <c r="P19">
        <f>IF(ISNUMBER(FIND("s",INDEX(TData!B16:W37,16,Tactics!D7))),I7,0)</f>
        <v>0</v>
      </c>
      <c r="Q19">
        <f>IF(ISNUMBER(FIND("s",INDEX(TData!B16:W37,16,Tactics!E7))),I7,0)</f>
        <v>0</v>
      </c>
      <c r="R19">
        <f>IF(ISNUMBER(FIND("s",INDEX(TData!B16:W37,16,Tactics!F7))),I7,0)</f>
        <v>0</v>
      </c>
      <c r="S19">
        <f>IF(ISNUMBER(FIND("c",INDEX(TData!B16:W37,16,Tactics!B4))),I5,0)</f>
        <v>0</v>
      </c>
      <c r="T19">
        <f>IF(ISNUMBER(FIND("c",INDEX(TData!B16:W37,16,Tactics!C4))),I5,0)</f>
        <v>0</v>
      </c>
      <c r="U19">
        <f>IF(ISNUMBER(FIND("c",INDEX(TData!B16:W37,16,Tactics!D4))),I5,0)</f>
        <v>0</v>
      </c>
      <c r="V19">
        <f>IF(ISNUMBER(FIND("c",INDEX(TData!B16:W37,16,Tactics!E4))),I5,0)</f>
        <v>0</v>
      </c>
      <c r="W19">
        <f>IF(ISNUMBER(FIND("c",INDEX(TData!B16:W37,16,Tactics!F4))),I5,0)</f>
        <v>0</v>
      </c>
      <c r="X19">
        <f>IF(ISNUMBER(FIND("c",INDEX(TData!B16:W37,16,Tactics!G4))),I5,0)</f>
        <v>0</v>
      </c>
      <c r="Y19">
        <f>IF(ISNUMBER(FIND("x",INDEX(TData!B16:W37,16,Tactics!B4))),I9,0)</f>
        <v>0</v>
      </c>
      <c r="Z19">
        <f>IF(ISNUMBER(FIND("x",INDEX(TData!B16:W37,16,Tactics!C4))),I9,0)</f>
        <v>0</v>
      </c>
      <c r="AA19">
        <f>IF(ISNUMBER(FIND("x",INDEX(TData!B16:W37,16,Tactics!D4))),I9,0)</f>
        <v>0</v>
      </c>
      <c r="AB19">
        <f>IF(ISNUMBER(FIND("x",INDEX(TData!B16:W37,16,Tactics!E4))),I9,0)</f>
        <v>0</v>
      </c>
      <c r="AC19">
        <f>IF(ISNUMBER(FIND("x",INDEX(TData!B16:W37,16,Tactics!F4))),I9,0)</f>
        <v>0</v>
      </c>
      <c r="AD19">
        <f>IF(ISNUMBER(FIND("x",INDEX(TData!B16:W37,16,Tactics!G4))),I9,0)</f>
        <v>0</v>
      </c>
      <c r="AE19">
        <f t="shared" si="0"/>
        <v>0</v>
      </c>
      <c r="AF19" t="s">
        <v>17</v>
      </c>
    </row>
    <row r="20" spans="2:32" x14ac:dyDescent="0.25">
      <c r="B20" t="s">
        <v>19</v>
      </c>
      <c r="C20">
        <v>0</v>
      </c>
      <c r="L20" t="s">
        <v>18</v>
      </c>
      <c r="M20">
        <v>17</v>
      </c>
      <c r="N20">
        <f>IF(ISNUMBER(FIND("s",INDEX(TData!B16:W37,17,Tactics!B7))),I7,0)</f>
        <v>0</v>
      </c>
      <c r="O20">
        <f>IF(ISNUMBER(FIND("s",INDEX(TData!B16:W37,17,Tactics!C7))),I7,0)</f>
        <v>0</v>
      </c>
      <c r="P20">
        <f>IF(ISNUMBER(FIND("s",INDEX(TData!B16:W37,17,Tactics!D7))),I7,0)</f>
        <v>0</v>
      </c>
      <c r="Q20">
        <f>IF(ISNUMBER(FIND("s",INDEX(TData!B16:W37,17,Tactics!E7))),I7,0)</f>
        <v>0</v>
      </c>
      <c r="R20">
        <f>IF(ISNUMBER(FIND("s",INDEX(TData!B16:W37,17,Tactics!F7))),I7,0)</f>
        <v>0</v>
      </c>
      <c r="S20">
        <f>IF(ISNUMBER(FIND("c",INDEX(TData!B16:W37,17,Tactics!B4))),I5,0)</f>
        <v>0</v>
      </c>
      <c r="T20">
        <f>IF(ISNUMBER(FIND("c",INDEX(TData!B16:W37,17,Tactics!C4))),I5,0)</f>
        <v>0</v>
      </c>
      <c r="U20">
        <f>IF(ISNUMBER(FIND("c",INDEX(TData!B16:W37,17,Tactics!D4))),I5,0)</f>
        <v>0</v>
      </c>
      <c r="V20">
        <f>IF(ISNUMBER(FIND("c",INDEX(TData!B16:W37,17,Tactics!E4))),I5,0)</f>
        <v>0</v>
      </c>
      <c r="W20">
        <f>IF(ISNUMBER(FIND("c",INDEX(TData!B16:W37,17,Tactics!F4))),I5,0)</f>
        <v>0</v>
      </c>
      <c r="X20">
        <f>IF(ISNUMBER(FIND("c",INDEX(TData!B16:W37,17,Tactics!G4))),I5,0)</f>
        <v>0</v>
      </c>
      <c r="Y20">
        <f>IF(ISNUMBER(FIND("x",INDEX(TData!B16:W37,17,Tactics!B4))),I9,0)</f>
        <v>-1</v>
      </c>
      <c r="Z20">
        <f>IF(ISNUMBER(FIND("x",INDEX(TData!B16:W37,17,Tactics!C4))),I9,0)</f>
        <v>0</v>
      </c>
      <c r="AA20">
        <f>IF(ISNUMBER(FIND("x",INDEX(TData!B16:W37,17,Tactics!D4))),I9,0)</f>
        <v>0</v>
      </c>
      <c r="AB20">
        <f>IF(ISNUMBER(FIND("x",INDEX(TData!B16:W37,17,Tactics!E4))),I9,0)</f>
        <v>0</v>
      </c>
      <c r="AC20">
        <f>IF(ISNUMBER(FIND("x",INDEX(TData!B16:W37,17,Tactics!F4))),I9,0)</f>
        <v>0</v>
      </c>
      <c r="AD20">
        <f>IF(ISNUMBER(FIND("x",INDEX(TData!B16:W37,17,Tactics!G4))),I9,0)</f>
        <v>0</v>
      </c>
      <c r="AE20">
        <f t="shared" si="0"/>
        <v>-1</v>
      </c>
      <c r="AF20" t="s">
        <v>18</v>
      </c>
    </row>
    <row r="21" spans="2:32" x14ac:dyDescent="0.25">
      <c r="B21" t="s">
        <v>20</v>
      </c>
      <c r="C21">
        <v>0</v>
      </c>
      <c r="L21" t="s">
        <v>19</v>
      </c>
      <c r="M21">
        <v>18</v>
      </c>
      <c r="N21">
        <f>IF(ISNUMBER(FIND("s",INDEX(TData!B16:W37,18,Tactics!B7))),I7,0)</f>
        <v>0</v>
      </c>
      <c r="O21">
        <f>IF(ISNUMBER(FIND("s",INDEX(TData!B16:W37,18,Tactics!C7))),I7,0)</f>
        <v>0</v>
      </c>
      <c r="P21">
        <f>IF(ISNUMBER(FIND("s",INDEX(TData!B16:W37,18,Tactics!D7))),I7,0)</f>
        <v>0</v>
      </c>
      <c r="Q21">
        <f>IF(ISNUMBER(FIND("s",INDEX(TData!B16:W37,18,Tactics!E7))),I7,0)</f>
        <v>0</v>
      </c>
      <c r="R21">
        <f>IF(ISNUMBER(FIND("s",INDEX(TData!B16:W37,18,Tactics!F7))),I7,0)</f>
        <v>0</v>
      </c>
      <c r="S21">
        <f>IF(ISNUMBER(FIND("c",INDEX(TData!B16:W37,18,Tactics!B4))),I5,0)</f>
        <v>0</v>
      </c>
      <c r="T21">
        <f>IF(ISNUMBER(FIND("c",INDEX(TData!B16:W37,18,Tactics!C4))),I5,0)</f>
        <v>0</v>
      </c>
      <c r="U21">
        <f>IF(ISNUMBER(FIND("c",INDEX(TData!B16:W37,18,Tactics!D4))),I5,0)</f>
        <v>0</v>
      </c>
      <c r="V21">
        <f>IF(ISNUMBER(FIND("c",INDEX(TData!B16:W37,18,Tactics!E4))),I5,0)</f>
        <v>0</v>
      </c>
      <c r="W21">
        <f>IF(ISNUMBER(FIND("c",INDEX(TData!B16:W37,18,Tactics!F4))),I5,0)</f>
        <v>0</v>
      </c>
      <c r="X21">
        <f>IF(ISNUMBER(FIND("c",INDEX(TData!B16:W37,18,Tactics!G4))),I5,0)</f>
        <v>0</v>
      </c>
      <c r="Y21">
        <f>IF(ISNUMBER(FIND("x",INDEX(TData!B16:W37,18,Tactics!B4))),I9,0)</f>
        <v>0</v>
      </c>
      <c r="Z21">
        <f>IF(ISNUMBER(FIND("x",INDEX(TData!B16:W37,18,Tactics!C4))),I9,0)</f>
        <v>0</v>
      </c>
      <c r="AA21">
        <f>IF(ISNUMBER(FIND("x",INDEX(TData!B16:W37,18,Tactics!D4))),I9,0)</f>
        <v>0</v>
      </c>
      <c r="AB21">
        <f>IF(ISNUMBER(FIND("x",INDEX(TData!B16:W37,18,Tactics!E4))),I9,0)</f>
        <v>0</v>
      </c>
      <c r="AC21">
        <f>IF(ISNUMBER(FIND("x",INDEX(TData!B16:W37,18,Tactics!F4))),I9,0)</f>
        <v>0</v>
      </c>
      <c r="AD21">
        <f>IF(ISNUMBER(FIND("x",INDEX(TData!B16:W37,18,Tactics!G4))),I9,0)</f>
        <v>0</v>
      </c>
      <c r="AE21">
        <f t="shared" si="0"/>
        <v>0</v>
      </c>
      <c r="AF21" t="s">
        <v>19</v>
      </c>
    </row>
    <row r="22" spans="2:32" x14ac:dyDescent="0.25">
      <c r="B22" t="s">
        <v>21</v>
      </c>
      <c r="C22">
        <v>0</v>
      </c>
      <c r="L22" t="s">
        <v>20</v>
      </c>
      <c r="M22">
        <v>19</v>
      </c>
      <c r="N22">
        <f>IF(ISNUMBER(FIND("s",INDEX(TData!B16:W37,19,Tactics!B7))),I7,0)</f>
        <v>0</v>
      </c>
      <c r="O22">
        <f>IF(ISNUMBER(FIND("s",INDEX(TData!B16:W37,19,Tactics!C7))),I7,0)</f>
        <v>0</v>
      </c>
      <c r="P22">
        <f>IF(ISNUMBER(FIND("s",INDEX(TData!B16:W37,19,Tactics!D7))),I7,0)</f>
        <v>0</v>
      </c>
      <c r="Q22">
        <f>IF(ISNUMBER(FIND("s",INDEX(TData!B16:W37,19,Tactics!E7))),I7,0)</f>
        <v>0</v>
      </c>
      <c r="R22">
        <f>IF(ISNUMBER(FIND("s",INDEX(TData!B16:W37,19,Tactics!F7))),I7,0)</f>
        <v>0</v>
      </c>
      <c r="S22">
        <f>IF(ISNUMBER(FIND("c",INDEX(TData!B16:W37,19,Tactics!B4))),I5,0)</f>
        <v>0</v>
      </c>
      <c r="T22">
        <f>IF(ISNUMBER(FIND("c",INDEX(TData!B16:W37,19,Tactics!C4))),I5,0)</f>
        <v>0</v>
      </c>
      <c r="U22">
        <f>IF(ISNUMBER(FIND("c",INDEX(TData!B16:W37,19,Tactics!D4))),I5,0)</f>
        <v>0</v>
      </c>
      <c r="V22">
        <f>IF(ISNUMBER(FIND("c",INDEX(TData!B16:W37,19,Tactics!E4))),I5,0)</f>
        <v>0</v>
      </c>
      <c r="W22">
        <f>IF(ISNUMBER(FIND("c",INDEX(TData!B16:W37,19,Tactics!F4))),I5,0)</f>
        <v>0</v>
      </c>
      <c r="X22">
        <f>IF(ISNUMBER(FIND("c",INDEX(TData!B16:W37,19,Tactics!G4))),I5,0)</f>
        <v>0</v>
      </c>
      <c r="Y22">
        <f>IF(ISNUMBER(FIND("x",INDEX(TData!B16:W37,19,Tactics!B4))),I9,0)</f>
        <v>0</v>
      </c>
      <c r="Z22">
        <f>IF(ISNUMBER(FIND("x",INDEX(TData!B16:W37,19,Tactics!C4))),I9,0)</f>
        <v>0</v>
      </c>
      <c r="AA22">
        <f>IF(ISNUMBER(FIND("x",INDEX(TData!B16:W37,19,Tactics!D4))),I9,0)</f>
        <v>0</v>
      </c>
      <c r="AB22">
        <f>IF(ISNUMBER(FIND("x",INDEX(TData!B16:W37,19,Tactics!E4))),I9,0)</f>
        <v>0</v>
      </c>
      <c r="AC22">
        <f>IF(ISNUMBER(FIND("x",INDEX(TData!B16:W37,19,Tactics!F4))),I9,0)</f>
        <v>0</v>
      </c>
      <c r="AD22">
        <f>IF(ISNUMBER(FIND("x",INDEX(TData!B16:W37,19,Tactics!G4))),I9,0)</f>
        <v>0</v>
      </c>
      <c r="AE22">
        <f t="shared" si="0"/>
        <v>0</v>
      </c>
      <c r="AF22" t="s">
        <v>20</v>
      </c>
    </row>
    <row r="23" spans="2:32" x14ac:dyDescent="0.25">
      <c r="B23" t="s">
        <v>22</v>
      </c>
      <c r="C23">
        <v>0</v>
      </c>
      <c r="L23" t="s">
        <v>21</v>
      </c>
      <c r="M23">
        <v>20</v>
      </c>
      <c r="N23">
        <f>IF(ISNUMBER(FIND("s",INDEX(TData!B16:W37,20,Tactics!B7))),I7,0)</f>
        <v>0</v>
      </c>
      <c r="O23">
        <f>IF(ISNUMBER(FIND("s",INDEX(TData!B16:W37,20,Tactics!C7))),I7,0)</f>
        <v>0</v>
      </c>
      <c r="P23">
        <f>IF(ISNUMBER(FIND("s",INDEX(TData!B16:W37,20,Tactics!D7))),I7,0)</f>
        <v>0</v>
      </c>
      <c r="Q23">
        <f>IF(ISNUMBER(FIND("s",INDEX(TData!B16:W37,20,Tactics!E7))),I7,0)</f>
        <v>0</v>
      </c>
      <c r="R23">
        <f>IF(ISNUMBER(FIND("s",INDEX(TData!B16:W37,20,Tactics!F7))),I7,0)</f>
        <v>0</v>
      </c>
      <c r="S23">
        <f>IF(ISNUMBER(FIND("c",INDEX(TData!B16:W37,20,Tactics!B4))),I5,0)</f>
        <v>0</v>
      </c>
      <c r="T23">
        <f>IF(ISNUMBER(FIND("c",INDEX(TData!B16:W37,20,Tactics!C4))),I5,0)</f>
        <v>0</v>
      </c>
      <c r="U23">
        <f>IF(ISNUMBER(FIND("c",INDEX(TData!B16:W37,20,Tactics!D4))),I5,0)</f>
        <v>0</v>
      </c>
      <c r="V23">
        <f>IF(ISNUMBER(FIND("c",INDEX(TData!B16:W37,20,Tactics!E4))),I5,0)</f>
        <v>0</v>
      </c>
      <c r="W23">
        <f>IF(ISNUMBER(FIND("c",INDEX(TData!B16:W37,20,Tactics!F4))),I5,0)</f>
        <v>0</v>
      </c>
      <c r="X23">
        <f>IF(ISNUMBER(FIND("c",INDEX(TData!B16:W37,20,Tactics!G4))),I5,0)</f>
        <v>0</v>
      </c>
      <c r="Y23">
        <f>IF(ISNUMBER(FIND("x",INDEX(TData!B16:W37,20,Tactics!B4))),I9,0)</f>
        <v>0</v>
      </c>
      <c r="Z23">
        <f>IF(ISNUMBER(FIND("x",INDEX(TData!B16:W37,20,Tactics!C4))),I9,0)</f>
        <v>0</v>
      </c>
      <c r="AA23">
        <f>IF(ISNUMBER(FIND("x",INDEX(TData!B16:W37,20,Tactics!D4))),I9,0)</f>
        <v>0</v>
      </c>
      <c r="AB23">
        <f>IF(ISNUMBER(FIND("x",INDEX(TData!B16:W37,20,Tactics!E4))),I9,0)</f>
        <v>0</v>
      </c>
      <c r="AC23">
        <f>IF(ISNUMBER(FIND("x",INDEX(TData!B16:W37,20,Tactics!F4))),I9,0)</f>
        <v>0</v>
      </c>
      <c r="AD23">
        <f>IF(ISNUMBER(FIND("x",INDEX(TData!B16:W37,20,Tactics!G4))),I9,0)</f>
        <v>0</v>
      </c>
      <c r="AE23">
        <f t="shared" si="0"/>
        <v>0</v>
      </c>
      <c r="AF23" t="s">
        <v>21</v>
      </c>
    </row>
    <row r="24" spans="2:32" x14ac:dyDescent="0.25">
      <c r="B24" t="s">
        <v>5</v>
      </c>
      <c r="C24">
        <v>-1</v>
      </c>
      <c r="L24" t="s">
        <v>22</v>
      </c>
      <c r="M24">
        <v>21</v>
      </c>
      <c r="N24">
        <f>IF(ISNUMBER(FIND("s",INDEX(TData!B16:W37,21,Tactics!B7))),I7,0)</f>
        <v>0</v>
      </c>
      <c r="O24">
        <f>IF(ISNUMBER(FIND("s",INDEX(TData!B16:W37,21,Tactics!C7))),I7,0)</f>
        <v>0</v>
      </c>
      <c r="P24">
        <f>IF(ISNUMBER(FIND("s",INDEX(TData!B16:W37,21,Tactics!D7))),I7,0)</f>
        <v>0</v>
      </c>
      <c r="Q24">
        <f>IF(ISNUMBER(FIND("s",INDEX(TData!B16:W37,21,Tactics!E7))),I7,0)</f>
        <v>0</v>
      </c>
      <c r="R24">
        <f>IF(ISNUMBER(FIND("s",INDEX(TData!B16:W37,21,Tactics!F7))),I7,0)</f>
        <v>0</v>
      </c>
      <c r="S24">
        <f>IF(ISNUMBER(FIND("c",INDEX(TData!B16:W37,21,Tactics!B4))),I5,0)</f>
        <v>0</v>
      </c>
      <c r="T24">
        <f>IF(ISNUMBER(FIND("c",INDEX(TData!B16:W37,21,Tactics!C4))),I5,0)</f>
        <v>0</v>
      </c>
      <c r="U24">
        <f>IF(ISNUMBER(FIND("c",INDEX(TData!B16:W37,21,Tactics!D4))),I5,0)</f>
        <v>0</v>
      </c>
      <c r="V24">
        <f>IF(ISNUMBER(FIND("c",INDEX(TData!B16:W37,21,Tactics!E4))),I5,0)</f>
        <v>1</v>
      </c>
      <c r="W24">
        <f>IF(ISNUMBER(FIND("c",INDEX(TData!B16:W37,21,Tactics!F4))),I5,0)</f>
        <v>0</v>
      </c>
      <c r="X24">
        <f>IF(ISNUMBER(FIND("c",INDEX(TData!B16:W37,21,Tactics!G4))),I5,0)</f>
        <v>0</v>
      </c>
      <c r="Y24">
        <f>IF(ISNUMBER(FIND("x",INDEX(TData!B16:W37,21,Tactics!B4))),I9,0)</f>
        <v>0</v>
      </c>
      <c r="Z24">
        <f>IF(ISNUMBER(FIND("x",INDEX(TData!B16:W37,21,Tactics!C4))),I9,0)</f>
        <v>0</v>
      </c>
      <c r="AA24">
        <f>IF(ISNUMBER(FIND("x",INDEX(TData!B16:W37,21,Tactics!D4))),I9,0)</f>
        <v>0</v>
      </c>
      <c r="AB24">
        <f>IF(ISNUMBER(FIND("x",INDEX(TData!B16:W37,21,Tactics!E4))),I9,0)</f>
        <v>0</v>
      </c>
      <c r="AC24">
        <f>IF(ISNUMBER(FIND("x",INDEX(TData!B16:W37,21,Tactics!F4))),I9,0)</f>
        <v>0</v>
      </c>
      <c r="AD24">
        <f>IF(ISNUMBER(FIND("x",INDEX(TData!B16:W37,21,Tactics!G4))),I9,0)</f>
        <v>-1</v>
      </c>
      <c r="AE24">
        <f t="shared" si="0"/>
        <v>0</v>
      </c>
      <c r="AF24" t="s">
        <v>22</v>
      </c>
    </row>
    <row r="25" spans="2:32" x14ac:dyDescent="0.25">
      <c r="B25" t="s">
        <v>10</v>
      </c>
      <c r="C25">
        <v>-1</v>
      </c>
    </row>
    <row r="26" spans="2:32" x14ac:dyDescent="0.25">
      <c r="B26" t="s">
        <v>13</v>
      </c>
      <c r="C26">
        <v>-1</v>
      </c>
    </row>
    <row r="27" spans="2:32" x14ac:dyDescent="0.25">
      <c r="B27" t="s">
        <v>23</v>
      </c>
      <c r="C27">
        <v>-1</v>
      </c>
    </row>
    <row r="28" spans="2:32" x14ac:dyDescent="0.25">
      <c r="B28" t="s">
        <v>0</v>
      </c>
      <c r="C28">
        <v>-1</v>
      </c>
    </row>
    <row r="29" spans="2:32" x14ac:dyDescent="0.25">
      <c r="B29" t="s">
        <v>18</v>
      </c>
      <c r="C29">
        <v>-1</v>
      </c>
    </row>
    <row r="30" spans="2:32" x14ac:dyDescent="0.25">
      <c r="B30" t="s">
        <v>15</v>
      </c>
      <c r="C30">
        <v>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Sheet1.Copy_OV">
                <anchor moveWithCells="1">
                  <from>
                    <xdr:col>5</xdr:col>
                    <xdr:colOff>542925</xdr:colOff>
                    <xdr:row>9</xdr:row>
                    <xdr:rowOff>123825</xdr:rowOff>
                  </from>
                  <to>
                    <xdr:col>7</xdr:col>
                    <xdr:colOff>209550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TData!$A$16:$A$37</xm:f>
          </x14:formula1>
          <xm:sqref>B3:G3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W37"/>
  <sheetViews>
    <sheetView zoomScale="85" zoomScaleNormal="85" workbookViewId="0">
      <selection activeCell="J9" sqref="J8:J9"/>
    </sheetView>
  </sheetViews>
  <sheetFormatPr defaultRowHeight="15" x14ac:dyDescent="0.25"/>
  <cols>
    <col min="1" max="1" width="15.5703125" customWidth="1"/>
    <col min="2" max="2" width="10.5703125" customWidth="1"/>
    <col min="3" max="3" width="9.7109375" customWidth="1"/>
    <col min="4" max="4" width="9.28515625" customWidth="1"/>
    <col min="5" max="5" width="9.42578125" customWidth="1"/>
    <col min="6" max="6" width="12.42578125" customWidth="1"/>
    <col min="8" max="8" width="9.7109375" customWidth="1"/>
    <col min="10" max="10" width="9.5703125" customWidth="1"/>
    <col min="12" max="12" width="10.7109375" customWidth="1"/>
    <col min="13" max="13" width="15.140625" customWidth="1"/>
    <col min="15" max="15" width="11.85546875" customWidth="1"/>
    <col min="16" max="16" width="10.85546875" customWidth="1"/>
    <col min="17" max="17" width="10.7109375" customWidth="1"/>
    <col min="21" max="21" width="12.140625" customWidth="1"/>
    <col min="22" max="22" width="10.85546875" customWidth="1"/>
  </cols>
  <sheetData>
    <row r="4" spans="1:23" x14ac:dyDescent="0.25">
      <c r="E4" t="s">
        <v>1</v>
      </c>
    </row>
    <row r="5" spans="1:23" x14ac:dyDescent="0.25">
      <c r="E5" t="s">
        <v>26</v>
      </c>
    </row>
    <row r="6" spans="1:23" x14ac:dyDescent="0.25">
      <c r="E6" t="s">
        <v>4</v>
      </c>
    </row>
    <row r="7" spans="1:23" x14ac:dyDescent="0.25">
      <c r="E7" t="s">
        <v>2</v>
      </c>
    </row>
    <row r="8" spans="1:23" x14ac:dyDescent="0.25">
      <c r="E8" t="s">
        <v>29</v>
      </c>
    </row>
    <row r="10" spans="1:23" x14ac:dyDescent="0.25">
      <c r="E10" t="s">
        <v>25</v>
      </c>
    </row>
    <row r="11" spans="1:23" x14ac:dyDescent="0.25">
      <c r="A11" s="15"/>
      <c r="B11" s="15"/>
      <c r="C11" s="15"/>
      <c r="D11" s="15"/>
    </row>
    <row r="12" spans="1:23" x14ac:dyDescent="0.25">
      <c r="A12" s="15"/>
      <c r="B12" s="15"/>
      <c r="C12" s="15"/>
      <c r="D12" s="15"/>
    </row>
    <row r="13" spans="1:23" x14ac:dyDescent="0.25">
      <c r="A13" s="15"/>
      <c r="B13" s="15"/>
      <c r="C13" s="15"/>
      <c r="D13" s="15"/>
    </row>
    <row r="15" spans="1:23" x14ac:dyDescent="0.25">
      <c r="A15" t="s">
        <v>3</v>
      </c>
      <c r="B15" t="s">
        <v>5</v>
      </c>
      <c r="C15" s="3" t="s">
        <v>62</v>
      </c>
      <c r="D15" t="s">
        <v>6</v>
      </c>
      <c r="E15" t="s">
        <v>7</v>
      </c>
      <c r="F15" t="s">
        <v>8</v>
      </c>
      <c r="G15" s="3" t="s">
        <v>9</v>
      </c>
      <c r="H15" s="3" t="s">
        <v>10</v>
      </c>
      <c r="I15" t="s">
        <v>11</v>
      </c>
      <c r="J15" t="s">
        <v>12</v>
      </c>
      <c r="K15" s="3" t="s">
        <v>13</v>
      </c>
      <c r="L15" s="3" t="s">
        <v>23</v>
      </c>
      <c r="M15" t="s">
        <v>14</v>
      </c>
      <c r="N15" t="s">
        <v>15</v>
      </c>
      <c r="O15" t="s">
        <v>0</v>
      </c>
      <c r="P15" s="3" t="s">
        <v>16</v>
      </c>
      <c r="Q15" t="s">
        <v>17</v>
      </c>
      <c r="R15" t="s">
        <v>18</v>
      </c>
      <c r="S15" t="s">
        <v>83</v>
      </c>
      <c r="T15" t="s">
        <v>87</v>
      </c>
      <c r="U15" t="s">
        <v>86</v>
      </c>
      <c r="V15" t="s">
        <v>85</v>
      </c>
      <c r="W15" t="s">
        <v>84</v>
      </c>
    </row>
    <row r="16" spans="1:23" x14ac:dyDescent="0.25">
      <c r="A16" s="2" t="s">
        <v>5</v>
      </c>
      <c r="H16" t="s">
        <v>30</v>
      </c>
      <c r="K16" t="s">
        <v>24</v>
      </c>
      <c r="M16" t="s">
        <v>30</v>
      </c>
      <c r="Q16" t="s">
        <v>24</v>
      </c>
      <c r="R16" t="s">
        <v>52</v>
      </c>
      <c r="V16" t="s">
        <v>24</v>
      </c>
      <c r="W16" t="s">
        <v>27</v>
      </c>
    </row>
    <row r="17" spans="1:23" x14ac:dyDescent="0.25">
      <c r="A17" s="3" t="s">
        <v>62</v>
      </c>
      <c r="D17" t="s">
        <v>30</v>
      </c>
      <c r="E17" t="s">
        <v>30</v>
      </c>
      <c r="G17" t="s">
        <v>30</v>
      </c>
      <c r="H17" t="s">
        <v>24</v>
      </c>
      <c r="I17" t="s">
        <v>24</v>
      </c>
      <c r="K17" t="s">
        <v>27</v>
      </c>
      <c r="M17" t="s">
        <v>24</v>
      </c>
      <c r="N17" t="s">
        <v>24</v>
      </c>
      <c r="O17" t="s">
        <v>27</v>
      </c>
      <c r="P17" t="s">
        <v>24</v>
      </c>
      <c r="Q17" t="s">
        <v>24</v>
      </c>
    </row>
    <row r="18" spans="1:23" x14ac:dyDescent="0.25">
      <c r="A18" s="2" t="s">
        <v>6</v>
      </c>
      <c r="C18" t="s">
        <v>24</v>
      </c>
      <c r="E18" s="1" t="s">
        <v>30</v>
      </c>
      <c r="F18" t="s">
        <v>24</v>
      </c>
      <c r="H18" t="s">
        <v>30</v>
      </c>
      <c r="J18" s="1" t="s">
        <v>30</v>
      </c>
      <c r="K18" t="s">
        <v>30</v>
      </c>
      <c r="M18" t="s">
        <v>24</v>
      </c>
      <c r="N18" t="s">
        <v>24</v>
      </c>
      <c r="O18" t="s">
        <v>30</v>
      </c>
      <c r="P18" t="s">
        <v>24</v>
      </c>
      <c r="R18" t="s">
        <v>27</v>
      </c>
      <c r="U18" s="1" t="s">
        <v>27</v>
      </c>
    </row>
    <row r="19" spans="1:23" x14ac:dyDescent="0.25">
      <c r="A19" s="2" t="s">
        <v>7</v>
      </c>
      <c r="B19" t="s">
        <v>24</v>
      </c>
      <c r="C19" t="s">
        <v>24</v>
      </c>
      <c r="D19" t="s">
        <v>24</v>
      </c>
      <c r="H19" t="s">
        <v>30</v>
      </c>
      <c r="K19" s="1" t="s">
        <v>28</v>
      </c>
      <c r="N19" t="s">
        <v>30</v>
      </c>
      <c r="O19" t="s">
        <v>30</v>
      </c>
      <c r="P19" s="1" t="s">
        <v>30</v>
      </c>
      <c r="Q19" s="1" t="s">
        <v>30</v>
      </c>
      <c r="R19" s="1" t="s">
        <v>28</v>
      </c>
      <c r="T19" s="1" t="s">
        <v>27</v>
      </c>
    </row>
    <row r="20" spans="1:23" x14ac:dyDescent="0.25">
      <c r="A20" s="2" t="s">
        <v>8</v>
      </c>
      <c r="D20" t="s">
        <v>30</v>
      </c>
      <c r="G20" t="s">
        <v>30</v>
      </c>
      <c r="J20" t="s">
        <v>24</v>
      </c>
      <c r="N20" t="s">
        <v>30</v>
      </c>
      <c r="O20" t="s">
        <v>27</v>
      </c>
      <c r="Q20" t="s">
        <v>27</v>
      </c>
    </row>
    <row r="21" spans="1:23" x14ac:dyDescent="0.25">
      <c r="A21" s="3" t="s">
        <v>9</v>
      </c>
      <c r="C21" t="s">
        <v>24</v>
      </c>
      <c r="F21" t="s">
        <v>24</v>
      </c>
      <c r="J21" t="s">
        <v>24</v>
      </c>
      <c r="L21" t="s">
        <v>52</v>
      </c>
      <c r="M21" t="s">
        <v>30</v>
      </c>
      <c r="O21" t="s">
        <v>30</v>
      </c>
      <c r="P21" t="s">
        <v>24</v>
      </c>
      <c r="Q21" t="s">
        <v>24</v>
      </c>
      <c r="R21" t="s">
        <v>52</v>
      </c>
      <c r="U21" t="s">
        <v>30</v>
      </c>
      <c r="V21" t="s">
        <v>24</v>
      </c>
    </row>
    <row r="22" spans="1:23" x14ac:dyDescent="0.25">
      <c r="A22" s="4" t="s">
        <v>10</v>
      </c>
      <c r="B22" t="s">
        <v>24</v>
      </c>
      <c r="C22" t="s">
        <v>30</v>
      </c>
      <c r="D22" t="s">
        <v>24</v>
      </c>
      <c r="G22" t="s">
        <v>24</v>
      </c>
      <c r="I22" t="s">
        <v>24</v>
      </c>
      <c r="J22" t="s">
        <v>24</v>
      </c>
      <c r="M22" t="s">
        <v>24</v>
      </c>
      <c r="O22" t="s">
        <v>27</v>
      </c>
      <c r="P22" t="s">
        <v>24</v>
      </c>
      <c r="Q22" t="s">
        <v>30</v>
      </c>
      <c r="R22" t="s">
        <v>27</v>
      </c>
      <c r="U22" t="s">
        <v>27</v>
      </c>
      <c r="V22" t="s">
        <v>24</v>
      </c>
    </row>
    <row r="23" spans="1:23" x14ac:dyDescent="0.25">
      <c r="A23" s="2" t="s">
        <v>11</v>
      </c>
      <c r="B23" t="s">
        <v>24</v>
      </c>
      <c r="H23" t="s">
        <v>30</v>
      </c>
      <c r="K23" t="s">
        <v>27</v>
      </c>
      <c r="L23" t="s">
        <v>30</v>
      </c>
      <c r="M23" t="s">
        <v>24</v>
      </c>
      <c r="N23" t="s">
        <v>24</v>
      </c>
      <c r="O23" t="s">
        <v>30</v>
      </c>
      <c r="R23" t="s">
        <v>27</v>
      </c>
      <c r="U23" t="s">
        <v>27</v>
      </c>
    </row>
    <row r="24" spans="1:23" x14ac:dyDescent="0.25">
      <c r="A24" s="2" t="s">
        <v>12</v>
      </c>
      <c r="C24" t="s">
        <v>24</v>
      </c>
      <c r="D24" t="s">
        <v>24</v>
      </c>
      <c r="F24" t="s">
        <v>30</v>
      </c>
      <c r="H24" t="s">
        <v>30</v>
      </c>
      <c r="L24" t="s">
        <v>30</v>
      </c>
      <c r="Q24" t="s">
        <v>52</v>
      </c>
      <c r="U24" t="s">
        <v>27</v>
      </c>
    </row>
    <row r="25" spans="1:23" x14ac:dyDescent="0.25">
      <c r="A25" s="3" t="s">
        <v>13</v>
      </c>
      <c r="B25" t="s">
        <v>30</v>
      </c>
      <c r="D25" t="s">
        <v>24</v>
      </c>
      <c r="E25" t="s">
        <v>52</v>
      </c>
      <c r="G25" t="s">
        <v>30</v>
      </c>
      <c r="I25" t="s">
        <v>52</v>
      </c>
      <c r="M25" t="s">
        <v>24</v>
      </c>
      <c r="T25" t="s">
        <v>27</v>
      </c>
    </row>
    <row r="26" spans="1:23" x14ac:dyDescent="0.25">
      <c r="A26" s="3" t="s">
        <v>23</v>
      </c>
      <c r="B26" t="s">
        <v>24</v>
      </c>
      <c r="G26" t="s">
        <v>28</v>
      </c>
      <c r="I26" t="s">
        <v>24</v>
      </c>
      <c r="J26" t="s">
        <v>24</v>
      </c>
      <c r="M26" t="s">
        <v>24</v>
      </c>
      <c r="N26" t="s">
        <v>24</v>
      </c>
      <c r="O26" t="s">
        <v>27</v>
      </c>
      <c r="Q26" t="s">
        <v>24</v>
      </c>
      <c r="R26" t="s">
        <v>52</v>
      </c>
    </row>
    <row r="27" spans="1:23" x14ac:dyDescent="0.25">
      <c r="A27" s="2" t="s">
        <v>14</v>
      </c>
      <c r="B27" t="s">
        <v>24</v>
      </c>
      <c r="C27" t="s">
        <v>30</v>
      </c>
      <c r="D27" t="s">
        <v>30</v>
      </c>
      <c r="G27" t="s">
        <v>24</v>
      </c>
      <c r="H27" t="s">
        <v>30</v>
      </c>
      <c r="K27" t="s">
        <v>30</v>
      </c>
      <c r="L27" t="s">
        <v>30</v>
      </c>
      <c r="N27" t="s">
        <v>24</v>
      </c>
      <c r="P27" t="s">
        <v>30</v>
      </c>
      <c r="Q27" t="s">
        <v>52</v>
      </c>
      <c r="W27" t="s">
        <v>27</v>
      </c>
    </row>
    <row r="28" spans="1:23" x14ac:dyDescent="0.25">
      <c r="A28" s="2" t="s">
        <v>15</v>
      </c>
      <c r="D28" t="s">
        <v>30</v>
      </c>
      <c r="F28" t="s">
        <v>24</v>
      </c>
      <c r="H28" t="s">
        <v>30</v>
      </c>
      <c r="K28" t="s">
        <v>27</v>
      </c>
      <c r="L28" t="s">
        <v>30</v>
      </c>
      <c r="M28" t="s">
        <v>30</v>
      </c>
      <c r="P28" t="s">
        <v>30</v>
      </c>
      <c r="Q28" t="s">
        <v>30</v>
      </c>
      <c r="R28" t="s">
        <v>52</v>
      </c>
      <c r="T28" t="s">
        <v>24</v>
      </c>
      <c r="V28" t="s">
        <v>24</v>
      </c>
    </row>
    <row r="29" spans="1:23" x14ac:dyDescent="0.25">
      <c r="A29" s="2" t="s">
        <v>0</v>
      </c>
      <c r="C29" t="s">
        <v>52</v>
      </c>
      <c r="D29" t="s">
        <v>24</v>
      </c>
      <c r="E29" t="s">
        <v>24</v>
      </c>
      <c r="F29" t="s">
        <v>27</v>
      </c>
      <c r="H29" t="s">
        <v>27</v>
      </c>
      <c r="J29" t="s">
        <v>24</v>
      </c>
      <c r="L29" t="s">
        <v>30</v>
      </c>
      <c r="M29" t="s">
        <v>30</v>
      </c>
      <c r="N29" t="s">
        <v>24</v>
      </c>
      <c r="P29" t="s">
        <v>24</v>
      </c>
      <c r="R29" t="s">
        <v>30</v>
      </c>
      <c r="U29" t="s">
        <v>24</v>
      </c>
    </row>
    <row r="30" spans="1:23" x14ac:dyDescent="0.25">
      <c r="A30" s="3" t="s">
        <v>16</v>
      </c>
      <c r="D30" t="s">
        <v>30</v>
      </c>
      <c r="E30" t="s">
        <v>24</v>
      </c>
      <c r="G30" t="s">
        <v>24</v>
      </c>
      <c r="H30" t="s">
        <v>30</v>
      </c>
      <c r="O30" t="s">
        <v>30</v>
      </c>
      <c r="R30" t="s">
        <v>27</v>
      </c>
      <c r="U30" t="s">
        <v>27</v>
      </c>
      <c r="W30" t="s">
        <v>24</v>
      </c>
    </row>
    <row r="31" spans="1:23" x14ac:dyDescent="0.25">
      <c r="A31" s="2" t="s">
        <v>17</v>
      </c>
      <c r="B31" t="s">
        <v>30</v>
      </c>
      <c r="C31" t="s">
        <v>24</v>
      </c>
      <c r="E31" t="s">
        <v>24</v>
      </c>
      <c r="G31" t="s">
        <v>30</v>
      </c>
      <c r="H31" t="s">
        <v>24</v>
      </c>
      <c r="I31" t="s">
        <v>30</v>
      </c>
      <c r="L31" t="s">
        <v>30</v>
      </c>
      <c r="M31" t="s">
        <v>30</v>
      </c>
      <c r="N31" t="s">
        <v>24</v>
      </c>
      <c r="R31" t="s">
        <v>27</v>
      </c>
      <c r="V31" t="s">
        <v>30</v>
      </c>
      <c r="W31" t="s">
        <v>52</v>
      </c>
    </row>
    <row r="32" spans="1:23" x14ac:dyDescent="0.25">
      <c r="A32" s="2" t="s">
        <v>18</v>
      </c>
      <c r="B32" t="s">
        <v>28</v>
      </c>
      <c r="C32" t="s">
        <v>30</v>
      </c>
      <c r="D32" t="s">
        <v>24</v>
      </c>
      <c r="E32" t="s">
        <v>52</v>
      </c>
      <c r="G32" t="s">
        <v>27</v>
      </c>
      <c r="K32" t="s">
        <v>30</v>
      </c>
      <c r="L32" t="s">
        <v>30</v>
      </c>
      <c r="N32" t="s">
        <v>30</v>
      </c>
      <c r="V32" t="s">
        <v>30</v>
      </c>
      <c r="W32" t="s">
        <v>30</v>
      </c>
    </row>
    <row r="33" spans="1:18" x14ac:dyDescent="0.25">
      <c r="A33" s="10" t="s">
        <v>83</v>
      </c>
      <c r="G33" t="s">
        <v>30</v>
      </c>
    </row>
    <row r="34" spans="1:18" x14ac:dyDescent="0.25">
      <c r="A34" s="2" t="s">
        <v>19</v>
      </c>
      <c r="B34" t="s">
        <v>24</v>
      </c>
      <c r="C34" t="s">
        <v>24</v>
      </c>
      <c r="E34" t="s">
        <v>27</v>
      </c>
      <c r="G34" t="s">
        <v>30</v>
      </c>
      <c r="N34" t="s">
        <v>30</v>
      </c>
      <c r="O34" t="s">
        <v>27</v>
      </c>
      <c r="P34" t="s">
        <v>52</v>
      </c>
      <c r="Q34" t="s">
        <v>30</v>
      </c>
    </row>
    <row r="35" spans="1:18" x14ac:dyDescent="0.25">
      <c r="A35" s="2" t="s">
        <v>20</v>
      </c>
      <c r="B35" t="s">
        <v>24</v>
      </c>
      <c r="D35" t="s">
        <v>27</v>
      </c>
      <c r="G35" t="s">
        <v>24</v>
      </c>
      <c r="I35" t="s">
        <v>27</v>
      </c>
      <c r="J35" t="s">
        <v>27</v>
      </c>
      <c r="M35" t="s">
        <v>24</v>
      </c>
      <c r="O35" s="1"/>
      <c r="Q35" s="1" t="s">
        <v>24</v>
      </c>
    </row>
    <row r="36" spans="1:18" x14ac:dyDescent="0.25">
      <c r="A36" s="2" t="s">
        <v>21</v>
      </c>
      <c r="B36" t="s">
        <v>30</v>
      </c>
      <c r="G36" t="s">
        <v>28</v>
      </c>
      <c r="H36" t="s">
        <v>30</v>
      </c>
      <c r="J36" t="s">
        <v>24</v>
      </c>
      <c r="N36" t="s">
        <v>30</v>
      </c>
      <c r="O36" t="s">
        <v>30</v>
      </c>
      <c r="Q36" t="s">
        <v>24</v>
      </c>
      <c r="R36" t="s">
        <v>24</v>
      </c>
    </row>
    <row r="37" spans="1:18" x14ac:dyDescent="0.25">
      <c r="A37" s="2" t="s">
        <v>22</v>
      </c>
      <c r="B37" t="s">
        <v>52</v>
      </c>
      <c r="D37" t="s">
        <v>27</v>
      </c>
      <c r="E37" t="s">
        <v>52</v>
      </c>
      <c r="G37" t="s">
        <v>24</v>
      </c>
      <c r="M37" t="s">
        <v>24</v>
      </c>
      <c r="P37" t="s">
        <v>30</v>
      </c>
      <c r="Q37" t="s">
        <v>53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Top</vt:lpstr>
      <vt:lpstr>RData</vt:lpstr>
      <vt:lpstr>Tactics</vt:lpstr>
      <vt:lpstr>TData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Rhys</dc:creator>
  <cp:lastModifiedBy>Rhys</cp:lastModifiedBy>
  <dcterms:created xsi:type="dcterms:W3CDTF">2016-05-18T06:24:38Z</dcterms:created>
  <dcterms:modified xsi:type="dcterms:W3CDTF">2016-10-04T21:34:22Z</dcterms:modified>
</cp:coreProperties>
</file>